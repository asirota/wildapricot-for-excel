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C:\Users\Alex\Dropbox\Wild Apricot Dashboard\"/>
    </mc:Choice>
  </mc:AlternateContent>
  <xr:revisionPtr revIDLastSave="0" documentId="13_ncr:1_{95EB715F-E396-4085-BAE7-6A145DF5BACF}" xr6:coauthVersionLast="34" xr6:coauthVersionMax="34" xr10:uidLastSave="{00000000-0000-0000-0000-000000000000}"/>
  <bookViews>
    <workbookView xWindow="32772" yWindow="32772" windowWidth="22500" windowHeight="10788" tabRatio="970" xr2:uid="{00000000-000D-0000-FFFF-FFFF00000000}"/>
  </bookViews>
  <sheets>
    <sheet name="Settings" sheetId="1" r:id="rId1"/>
    <sheet name="Fields" sheetId="2" r:id="rId2"/>
    <sheet name="Levels" sheetId="3" r:id="rId3"/>
    <sheet name="Contacts" sheetId="4" r:id="rId4"/>
    <sheet name="Sample Report" sheetId="5" r:id="rId5"/>
    <sheet name="AuditProperties" sheetId="26" r:id="rId6"/>
    <sheet name="Sample AuditLog Report" sheetId="25" r:id="rId7"/>
    <sheet name="Worksheet Sizes" sheetId="273" r:id="rId8"/>
  </sheets>
  <functionGroups builtInGroupCount="19">
    <functionGroup name="ASAP Utilities"/>
  </functionGroups>
  <definedNames>
    <definedName name="_xlnm._FilterDatabase" localSheetId="5" hidden="1">AuditProperties!$A$1:$AU$1</definedName>
    <definedName name="_xlnm._FilterDatabase" localSheetId="3" hidden="1">Contacts!$A$1:$BE$1</definedName>
    <definedName name="_xlnm._FilterDatabase" localSheetId="1" hidden="1">Fields!$A$1:$F$1</definedName>
    <definedName name="_xlnm._FilterDatabase" localSheetId="2" hidden="1">Levels!$A$1:$F$89</definedName>
    <definedName name="in_ApiKey">Settings!$B$3</definedName>
    <definedName name="in_ApiUrl">Settings!$B$5</definedName>
    <definedName name="in_AuditlogEndDateCriteria">Settings!$B$16:$C$16</definedName>
    <definedName name="in_AuditlogIdList" localSheetId="5">OFFSET(AuditProperties!$A$1,1,0,COUNTA(AuditProperties!$A:$A)-1,1)</definedName>
    <definedName name="in_AuditlogStartDateCriteria">Settings!$B$15:$C$15</definedName>
    <definedName name="in_IsArchivedCriteria">Settings!$B$11:$C$11</definedName>
    <definedName name="in_LastUpdatedCriteria">Settings!$B$7:$C$7</definedName>
    <definedName name="in_MembershipEnabledCriteria">Settings!$B$10:$C$10</definedName>
    <definedName name="in_MembershipStatusCriteria">Settings!$B$9:$C$9</definedName>
    <definedName name="in_OAuthUrl">Settings!$D$5</definedName>
    <definedName name="in_RenewalDateCriteria">Settings!$B$8:$C$8</definedName>
    <definedName name="out_AccountName" localSheetId="0">Settings!$B$25</definedName>
    <definedName name="out_ApiVersion" localSheetId="0">Settings!$C$24</definedName>
    <definedName name="out_AuditPropertiesHeaders" localSheetId="5">AuditProperties!$N$1:$AW$1:'AuditProperties'!$AW$1</definedName>
    <definedName name="out_ContactHeaders" localSheetId="3">Contacts!$A$1:$BF$1</definedName>
    <definedName name="out_DataLoadedDate" localSheetId="0">Settings!$D$21</definedName>
    <definedName name="out_DataLoadedFinishedDate" localSheetId="0">Settings!$D$22</definedName>
    <definedName name="out_DomainName" localSheetId="0">Settings!$B$26</definedName>
    <definedName name="out_FieldsList" localSheetId="1">Fields!$A$2:$F$124</definedName>
    <definedName name="out_GeneralInfo" localSheetId="0">Settings!$C$24:$C$26</definedName>
    <definedName name="out_LevelsList" localSheetId="2">Levels!$A$2:$F$189</definedName>
    <definedName name="out_LoadingState" localSheetId="0">Settings!$D$20</definedName>
    <definedName name="out_LoadingStateInfo" localSheetId="0">Settings!$D$20:$D$22</definedName>
    <definedName name="RenewalHeaders">#REF!</definedName>
  </definedNames>
  <calcPr calcId="179017"/>
  <pivotCaches>
    <pivotCache cacheId="15" r:id="rId9"/>
    <pivotCache cacheId="16" r:id="rId10"/>
  </pivotCaches>
</workbook>
</file>

<file path=xl/calcChain.xml><?xml version="1.0" encoding="utf-8"?>
<calcChain xmlns="http://schemas.openxmlformats.org/spreadsheetml/2006/main">
  <c r="D25" i="1" l="1"/>
  <c r="D23" i="1" l="1"/>
  <c r="A30" i="1"/>
</calcChain>
</file>

<file path=xl/sharedStrings.xml><?xml version="1.0" encoding="utf-8"?>
<sst xmlns="http://schemas.openxmlformats.org/spreadsheetml/2006/main" count="107" uniqueCount="86">
  <si>
    <t>&lt;= Insert API key here</t>
  </si>
  <si>
    <t>API URL:</t>
  </si>
  <si>
    <t>Account name:</t>
  </si>
  <si>
    <t>Domain name:</t>
  </si>
  <si>
    <t>General information</t>
  </si>
  <si>
    <t>Contacts filter</t>
  </si>
  <si>
    <t>Membership status</t>
  </si>
  <si>
    <t>Bool comparison operators</t>
  </si>
  <si>
    <t>Membership statuses</t>
  </si>
  <si>
    <t>less or equals</t>
  </si>
  <si>
    <t>equals</t>
  </si>
  <si>
    <t>not equals</t>
  </si>
  <si>
    <t>Bool values</t>
  </si>
  <si>
    <t>Yes</t>
  </si>
  <si>
    <t>No</t>
  </si>
  <si>
    <t>Active</t>
  </si>
  <si>
    <t>Lapsed</t>
  </si>
  <si>
    <t>PendingRenewal</t>
  </si>
  <si>
    <t>PendingNew</t>
  </si>
  <si>
    <t>PendingUpgrade</t>
  </si>
  <si>
    <t>Membership status operators</t>
  </si>
  <si>
    <t>greater or equals</t>
  </si>
  <si>
    <t>Type</t>
  </si>
  <si>
    <t>Description</t>
  </si>
  <si>
    <t>Description (system-defined)</t>
  </si>
  <si>
    <t>Name</t>
  </si>
  <si>
    <t>Level Id</t>
  </si>
  <si>
    <t>Anyone can apply</t>
  </si>
  <si>
    <t>Membership fee</t>
  </si>
  <si>
    <t>TestHelper.</t>
  </si>
  <si>
    <t>Data validation constants, don't modify this</t>
  </si>
  <si>
    <t>&lt;=data validation constants, don't modify them</t>
  </si>
  <si>
    <t>operator</t>
  </si>
  <si>
    <t>value</t>
  </si>
  <si>
    <t>Include in results</t>
  </si>
  <si>
    <t>This sample Excel workbook demonstrates how to use Wild Apricot's API to download contact records from your Wild Apricot database.</t>
  </si>
  <si>
    <t>API key:</t>
  </si>
  <si>
    <t>To filter contacts, select an operator from the first cell and enter or select a value for the second. If the cells are blank, the filter is not applied.</t>
  </si>
  <si>
    <t>&lt;= You can control which fields are included in the search results on the Contacts tab. Choose Yes or No for each row.</t>
  </si>
  <si>
    <t>Field name</t>
  </si>
  <si>
    <t>Allowed values (for choice and multiple choice only)</t>
  </si>
  <si>
    <t>API version:</t>
  </si>
  <si>
    <t>&lt;= enter date</t>
  </si>
  <si>
    <t>&lt;= select from list</t>
  </si>
  <si>
    <t>&lt;= download status</t>
  </si>
  <si>
    <t>Field instructions (admin-defined)</t>
  </si>
  <si>
    <t>Renewal due</t>
  </si>
  <si>
    <t>Member</t>
  </si>
  <si>
    <t>Archived</t>
  </si>
  <si>
    <t>Profile last updated</t>
  </si>
  <si>
    <t>https://api.wildapricot.org</t>
  </si>
  <si>
    <t>oAuth URL:</t>
  </si>
  <si>
    <t>https://oauth.wildapricot.org/auth/token</t>
  </si>
  <si>
    <t>To get your API key, log in to your Wild Apricot account as an administrator then go to Settings &gt; Security &gt; Authorized applications. Create an authorized application if you don't have one and copy and paste the API key.</t>
  </si>
  <si>
    <t>&lt;= last download time started</t>
  </si>
  <si>
    <t>&lt;= last download time finished</t>
  </si>
  <si>
    <t>Worksheet Name</t>
  </si>
  <si>
    <t>Settings</t>
  </si>
  <si>
    <t>Fields</t>
  </si>
  <si>
    <t>Levels</t>
  </si>
  <si>
    <t>Contacts</t>
  </si>
  <si>
    <t>Sample Report</t>
  </si>
  <si>
    <t>Size in KB</t>
  </si>
  <si>
    <t>Number of Cells</t>
  </si>
  <si>
    <t>Audit Log Items filter</t>
  </si>
  <si>
    <t>Start Date</t>
  </si>
  <si>
    <t>End Date</t>
  </si>
  <si>
    <t>Audit Log ID</t>
  </si>
  <si>
    <t>Current Date</t>
  </si>
  <si>
    <t>Organization</t>
  </si>
  <si>
    <t>AuditItem Id</t>
  </si>
  <si>
    <t>AuditItem Id Url</t>
  </si>
  <si>
    <t>AuditItem Timestamp</t>
  </si>
  <si>
    <t>Contact Id</t>
  </si>
  <si>
    <t>Contact Id Url</t>
  </si>
  <si>
    <t>FirstName</t>
  </si>
  <si>
    <t>LastName</t>
  </si>
  <si>
    <t>Email</t>
  </si>
  <si>
    <t>Message</t>
  </si>
  <si>
    <t>Severity</t>
  </si>
  <si>
    <t>OrderType</t>
  </si>
  <si>
    <t>&lt;= time elapsed of last download</t>
  </si>
  <si>
    <t>&lt;= rows downloaded per minute</t>
  </si>
  <si>
    <t>ReceiptId</t>
  </si>
  <si>
    <t>AuditProperties</t>
  </si>
  <si>
    <t>Sample AuditLog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</si>
</sst>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409]d\-mmm\-yy;@"/>
    <numFmt numFmtId="166" formatCode="h:mm;@"/>
  </numFmts>
  <fonts count="14" x14ac:knownFonts="1">
    <font>
      <sz val="11"/>
      <color theme="1"/>
      <name val="Calibri"/>
      <family val="2"/>
      <charset val="204"/>
      <scheme val="minor"/>
    </font>
    <font>
      <i/>
      <sz val="11"/>
      <color rgb="FF7F7F7F"/>
      <name val="Calibri"/>
      <family val="2"/>
      <charset val="204"/>
      <scheme val="minor"/>
    </font>
    <font>
      <b/>
      <sz val="13"/>
      <color theme="3"/>
      <name val="Calibri"/>
      <family val="2"/>
      <charset val="204"/>
      <scheme val="minor"/>
    </font>
    <font>
      <b/>
      <sz val="11"/>
      <color theme="3"/>
      <name val="Calibri"/>
      <family val="2"/>
      <charset val="204"/>
      <scheme val="minor"/>
    </font>
    <font>
      <u/>
      <sz val="11"/>
      <color theme="1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theme="1"/>
      <name val="Calibri"/>
      <family val="2"/>
      <charset val="204"/>
      <scheme val="minor"/>
    </font>
    <font>
      <sz val="14"/>
      <color rgb="FF000000"/>
      <name val="Verdana"/>
      <family val="2"/>
    </font>
    <font>
      <b/>
      <sz val="11"/>
      <color theme="1"/>
      <name val="Calibri"/>
      <family val="2"/>
      <scheme val="minor"/>
    </font>
    <font>
      <sz val="12"/>
      <color rgb="FF000000"/>
      <name val="Arial"/>
      <family val="2"/>
    </font>
    <font>
      <b/>
      <sz val="22"/>
      <color theme="1"/>
      <name val="Calibri"/>
      <family val="2"/>
      <charset val="204"/>
      <scheme val="minor"/>
    </font>
    <font>
      <sz val="11"/>
      <color rgb="FF000000"/>
      <name val="Calibri"/>
      <family val="2"/>
    </font>
    <font>
      <b/>
      <sz val="11"/>
      <color rgb="FF000000"/>
      <name val="Calibri"/>
      <family val="2"/>
    </font>
  </fonts>
  <fills count="7">
    <fill>
      <patternFill patternType="none"/>
    </fill>
    <fill>
      <patternFill patternType="gray125"/>
    </fill>
    <fill>
      <patternFill patternType="solid">
        <fgColor rgb="FFF2F2F2"/>
      </patternFill>
    </fill>
    <fill>
      <patternFill patternType="solid">
        <fgColor rgb="FFFFCC99"/>
      </patternFill>
    </fill>
    <fill>
      <patternFill patternType="solid">
        <fgColor theme="0" tint="-4.9989318521683403E-2"/>
        <bgColor indexed="64"/>
      </patternFill>
    </fill>
    <fill>
      <patternFill patternType="solid">
        <fgColor rgb="FFFFFF00"/>
        <bgColor indexed="64"/>
      </patternFill>
    </fill>
    <fill>
      <patternFill patternType="solid">
        <fgColor rgb="FFFFC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indexed="65"/>
      </left>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7">
    <xf numFmtId="0" fontId="0" fillId="0" borderId="0"/>
    <xf numFmtId="0" fontId="1" fillId="0" borderId="0" applyNumberFormat="0" applyFill="0" applyBorder="0" applyAlignment="0" applyProtection="0"/>
    <xf numFmtId="0" fontId="2" fillId="0" borderId="5" applyNumberFormat="0" applyFill="0" applyAlignment="0" applyProtection="0"/>
    <xf numFmtId="0" fontId="3" fillId="0" borderId="6" applyNumberFormat="0" applyFill="0" applyAlignment="0" applyProtection="0"/>
    <xf numFmtId="0" fontId="4" fillId="0" borderId="0" applyNumberFormat="0" applyFill="0" applyBorder="0" applyAlignment="0" applyProtection="0"/>
    <xf numFmtId="0" fontId="5" fillId="3" borderId="4" applyNumberFormat="0" applyAlignment="0" applyProtection="0"/>
    <xf numFmtId="0" fontId="6" fillId="2" borderId="7" applyNumberFormat="0" applyAlignment="0" applyProtection="0"/>
  </cellStyleXfs>
  <cellXfs count="59">
    <xf numFmtId="0" fontId="0" fillId="0" borderId="0" xfId="0"/>
    <xf numFmtId="0" fontId="0" fillId="0" borderId="0" xfId="0" applyAlignment="1"/>
    <xf numFmtId="0" fontId="4" fillId="0" borderId="0" xfId="4" applyAlignment="1"/>
    <xf numFmtId="0" fontId="0" fillId="0" borderId="0" xfId="0" applyAlignment="1">
      <alignment horizontal="left"/>
    </xf>
    <xf numFmtId="0" fontId="1" fillId="0" borderId="0" xfId="1"/>
    <xf numFmtId="0" fontId="3" fillId="0" borderId="6" xfId="3"/>
    <xf numFmtId="0" fontId="3" fillId="0" borderId="0" xfId="3" applyFill="1" applyBorder="1"/>
    <xf numFmtId="0" fontId="2" fillId="0" borderId="5" xfId="2" applyFill="1" applyAlignment="1"/>
    <xf numFmtId="0" fontId="0" fillId="0" borderId="0" xfId="0" applyAlignment="1">
      <alignment wrapText="1"/>
    </xf>
    <xf numFmtId="0" fontId="3" fillId="0" borderId="6" xfId="3" applyAlignment="1">
      <alignment wrapText="1"/>
    </xf>
    <xf numFmtId="0" fontId="3" fillId="0" borderId="6" xfId="3" applyAlignment="1">
      <alignment vertical="top"/>
    </xf>
    <xf numFmtId="0" fontId="3" fillId="0" borderId="6" xfId="3" applyAlignment="1">
      <alignment vertical="top" wrapText="1"/>
    </xf>
    <xf numFmtId="0" fontId="1" fillId="0" borderId="0" xfId="1" applyFill="1" applyBorder="1" applyAlignment="1">
      <alignment vertical="top" wrapText="1"/>
    </xf>
    <xf numFmtId="0" fontId="0" fillId="0" borderId="1" xfId="0" applyBorder="1" applyAlignment="1">
      <alignment wrapText="1"/>
    </xf>
    <xf numFmtId="0" fontId="7" fillId="0" borderId="1" xfId="0" applyFont="1" applyBorder="1" applyAlignment="1">
      <alignment wrapText="1"/>
    </xf>
    <xf numFmtId="0" fontId="2" fillId="0" borderId="5" xfId="2" applyAlignment="1">
      <alignment horizontal="left"/>
    </xf>
    <xf numFmtId="0" fontId="6" fillId="2" borderId="2" xfId="6" applyBorder="1"/>
    <xf numFmtId="0" fontId="6" fillId="2" borderId="3" xfId="6" applyBorder="1"/>
    <xf numFmtId="0" fontId="2" fillId="0" borderId="5" xfId="2"/>
    <xf numFmtId="0" fontId="7" fillId="0" borderId="0" xfId="0" applyFont="1" applyAlignment="1">
      <alignment horizontal="center"/>
    </xf>
    <xf numFmtId="0" fontId="6" fillId="2" borderId="7" xfId="6" applyAlignment="1">
      <alignment horizontal="right"/>
    </xf>
    <xf numFmtId="22" fontId="6" fillId="2" borderId="7" xfId="6" applyNumberFormat="1" applyAlignment="1"/>
    <xf numFmtId="0" fontId="5" fillId="3" borderId="4" xfId="5" applyProtection="1">
      <protection locked="0"/>
    </xf>
    <xf numFmtId="0" fontId="3" fillId="0" borderId="6" xfId="3" applyAlignment="1" applyProtection="1">
      <alignment vertical="top" wrapText="1"/>
      <protection locked="0"/>
    </xf>
    <xf numFmtId="0" fontId="0" fillId="0" borderId="0" xfId="0" applyAlignment="1" applyProtection="1">
      <alignment wrapText="1"/>
      <protection locked="0"/>
    </xf>
    <xf numFmtId="0" fontId="0" fillId="0" borderId="0" xfId="0" applyProtection="1">
      <protection locked="0"/>
    </xf>
    <xf numFmtId="0" fontId="4" fillId="0" borderId="0" xfId="4"/>
    <xf numFmtId="0" fontId="6" fillId="2" borderId="1" xfId="6" applyBorder="1"/>
    <xf numFmtId="0" fontId="4" fillId="2" borderId="1" xfId="4" applyFill="1" applyBorder="1" applyAlignment="1">
      <alignment horizontal="right"/>
    </xf>
    <xf numFmtId="0" fontId="8" fillId="0" borderId="0" xfId="0" applyFont="1"/>
    <xf numFmtId="0" fontId="5" fillId="3" borderId="4" xfId="5"/>
    <xf numFmtId="22" fontId="0" fillId="0" borderId="0" xfId="0" applyNumberFormat="1"/>
    <xf numFmtId="0" fontId="3" fillId="4" borderId="0" xfId="3" applyFill="1" applyBorder="1"/>
    <xf numFmtId="0" fontId="0" fillId="4" borderId="0" xfId="0" applyFill="1"/>
    <xf numFmtId="49" fontId="0" fillId="0" borderId="0" xfId="0" applyNumberFormat="1"/>
    <xf numFmtId="14" fontId="0" fillId="0" borderId="0" xfId="0" applyNumberFormat="1" applyAlignment="1">
      <alignment wrapText="1"/>
    </xf>
    <xf numFmtId="14" fontId="0" fillId="0" borderId="0" xfId="0" applyNumberFormat="1"/>
    <xf numFmtId="164" fontId="0" fillId="0" borderId="0" xfId="0" applyNumberFormat="1"/>
    <xf numFmtId="0" fontId="0" fillId="0" borderId="9" xfId="0" applyBorder="1"/>
    <xf numFmtId="0" fontId="0" fillId="0" borderId="8" xfId="0" applyBorder="1"/>
    <xf numFmtId="165" fontId="5" fillId="3" borderId="4" xfId="5" applyNumberFormat="1"/>
    <xf numFmtId="0" fontId="0" fillId="0" borderId="10" xfId="0" applyBorder="1"/>
    <xf numFmtId="0" fontId="1" fillId="0" borderId="0" xfId="1" applyFill="1" applyBorder="1"/>
    <xf numFmtId="166" fontId="9" fillId="0" borderId="0" xfId="0" applyNumberFormat="1" applyFont="1"/>
    <xf numFmtId="0" fontId="9" fillId="0" borderId="0" xfId="0" applyFont="1"/>
    <xf numFmtId="49" fontId="0" fillId="5" borderId="0" xfId="0" applyNumberFormat="1" applyFill="1"/>
    <xf numFmtId="0" fontId="0" fillId="5" borderId="0" xfId="0" applyFill="1"/>
    <xf numFmtId="49" fontId="0" fillId="6" borderId="0" xfId="0" applyNumberFormat="1" applyFill="1"/>
    <xf numFmtId="49" fontId="3" fillId="0" borderId="6" xfId="3" applyNumberFormat="1" applyAlignment="1">
      <alignment wrapText="1"/>
    </xf>
    <xf numFmtId="0" fontId="10" fillId="0" borderId="0" xfId="0" applyFon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11" fillId="0" borderId="1" xfId="0" applyFont="1" applyBorder="1" applyAlignment="1">
      <alignment horizontal="center" wrapText="1"/>
    </xf>
    <xf numFmtId="0" fontId="1" fillId="0" borderId="0" xfId="1" applyAlignment="1">
      <alignment horizontal="left" wrapText="1"/>
    </xf>
    <xf numFmtId="0" fontId="9" fillId="0" borderId="0" xfId="0" applyNumberFormat="1" applyFont="1"/>
  </cellXfs>
  <cellStyles count="7">
    <cellStyle name="Explanatory Text" xfId="1" builtinId="53"/>
    <cellStyle name="Heading 2" xfId="2" builtinId="17"/>
    <cellStyle name="Heading 3" xfId="3" builtinId="18"/>
    <cellStyle name="Hyperlink" xfId="4" builtinId="8"/>
    <cellStyle name="Input" xfId="5" builtinId="20"/>
    <cellStyle name="Normal" xfId="0" builtinId="0"/>
    <cellStyle name="Output" xfId="6"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 Dashboard Excel v2.4.13 - DEV.xlsm]Sample Report!SamplePivotTable</c:name>
    <c:fmtId val="0"/>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s>
    <c:plotArea>
      <c:layout/>
      <c:barChart>
        <c:barDir val="col"/>
        <c:grouping val="stacked"/>
        <c:varyColors val="0"/>
        <c:dLbls>
          <c:showLegendKey val="0"/>
          <c:showVal val="0"/>
          <c:showCatName val="0"/>
          <c:showSerName val="0"/>
          <c:showPercent val="0"/>
          <c:showBubbleSize val="0"/>
        </c:dLbls>
        <c:gapWidth val="150"/>
        <c:overlap val="100"/>
        <c:axId val="540783480"/>
        <c:axId val="1"/>
      </c:barChart>
      <c:catAx>
        <c:axId val="54078348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auto val="0"/>
        <c:lblAlgn val="ctr"/>
        <c:lblOffset val="100"/>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0783480"/>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 Dashboard Excel v2.4.13 - DEV.xlsm]Sample AuditLog Report!PivotTable2</c:name>
    <c:fmtId val="0"/>
  </c:pivotSource>
  <c:chart>
    <c:autoTitleDeleted val="0"/>
    <c:pivotFmts>
      <c:pivotFmt>
        <c:idx val="0"/>
        <c:marker>
          <c:symbol val="none"/>
        </c:marker>
      </c:pivotFmt>
      <c:pivotFmt>
        <c:idx val="1"/>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537706768"/>
        <c:axId val="1"/>
      </c:barChart>
      <c:catAx>
        <c:axId val="53770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537706768"/>
        <c:crosses val="autoZero"/>
        <c:crossBetween val="between"/>
      </c:valAx>
      <c:spPr>
        <a:noFill/>
        <a:ln w="25400">
          <a:noFill/>
        </a:ln>
      </c:spPr>
    </c:plotArea>
    <c:legend>
      <c:legendPos val="r"/>
      <c:overlay val="0"/>
      <c:spPr>
        <a:noFill/>
        <a:ln w="25400">
          <a:noFill/>
        </a:ln>
      </c:spPr>
      <c:txPr>
        <a:bodyPr/>
        <a:lstStyle/>
        <a:p>
          <a:pPr>
            <a:defRPr sz="82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0</xdr:row>
      <xdr:rowOff>38100</xdr:rowOff>
    </xdr:from>
    <xdr:to>
      <xdr:col>8</xdr:col>
      <xdr:colOff>1514475</xdr:colOff>
      <xdr:row>3</xdr:row>
      <xdr:rowOff>280988</xdr:rowOff>
    </xdr:to>
    <xdr:pic>
      <xdr:nvPicPr>
        <xdr:cNvPr id="2376895" name="Picture 1">
          <a:extLst>
            <a:ext uri="{FF2B5EF4-FFF2-40B4-BE49-F238E27FC236}">
              <a16:creationId xmlns:a16="http://schemas.microsoft.com/office/drawing/2014/main" id="{00000000-0008-0000-0000-0000BF442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91863" y="38100"/>
          <a:ext cx="3457575" cy="8429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60960</xdr:colOff>
          <xdr:row>27</xdr:row>
          <xdr:rowOff>30480</xdr:rowOff>
        </xdr:from>
        <xdr:to>
          <xdr:col>1</xdr:col>
          <xdr:colOff>0</xdr:colOff>
          <xdr:row>28</xdr:row>
          <xdr:rowOff>60960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cs typeface="Calibri"/>
                </a:rPr>
                <a:t>Calculate Sheet Sizes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2598420</xdr:colOff>
          <xdr:row>5</xdr:row>
          <xdr:rowOff>594360</xdr:rowOff>
        </xdr:from>
        <xdr:to>
          <xdr:col>6</xdr:col>
          <xdr:colOff>640080</xdr:colOff>
          <xdr:row>7</xdr:row>
          <xdr:rowOff>167640</xdr:rowOff>
        </xdr:to>
        <xdr:sp macro="" textlink="">
          <xdr:nvSpPr>
            <xdr:cNvPr id="1025" name="LoadData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cs typeface="Calibri"/>
                </a:rPr>
                <a:t>Download Membership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2606040</xdr:colOff>
          <xdr:row>14</xdr:row>
          <xdr:rowOff>7620</xdr:rowOff>
        </xdr:from>
        <xdr:to>
          <xdr:col>7</xdr:col>
          <xdr:colOff>7620</xdr:colOff>
          <xdr:row>16</xdr:row>
          <xdr:rowOff>0</xdr:rowOff>
        </xdr:to>
        <xdr:sp macro="" textlink="">
          <xdr:nvSpPr>
            <xdr:cNvPr id="1070" name="LoadDataButton"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cs typeface="Calibri"/>
                </a:rPr>
                <a:t>Download Audit Log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2590800</xdr:colOff>
          <xdr:row>10</xdr:row>
          <xdr:rowOff>7620</xdr:rowOff>
        </xdr:from>
        <xdr:to>
          <xdr:col>7</xdr:col>
          <xdr:colOff>7620</xdr:colOff>
          <xdr:row>12</xdr:row>
          <xdr:rowOff>7620</xdr:rowOff>
        </xdr:to>
        <xdr:sp macro="" textlink="">
          <xdr:nvSpPr>
            <xdr:cNvPr id="1762" name="Button 738" hidden="1">
              <a:extLst>
                <a:ext uri="{63B3BB69-23CF-44E3-9099-C40C66FF867C}">
                  <a14:compatExt spid="_x0000_s1762"/>
                </a:ext>
                <a:ext uri="{FF2B5EF4-FFF2-40B4-BE49-F238E27FC236}">
                  <a16:creationId xmlns:a16="http://schemas.microsoft.com/office/drawing/2014/main" id="{00000000-0008-0000-0000-0000E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1" i="0" u="none" strike="noStrike" baseline="0">
                  <a:solidFill>
                    <a:srgbClr val="000000"/>
                  </a:solidFill>
                  <a:latin typeface="Calibri"/>
                  <a:cs typeface="Calibri"/>
                </a:rPr>
                <a:t>Download Summary Table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109538</xdr:colOff>
      <xdr:row>15</xdr:row>
      <xdr:rowOff>142875</xdr:rowOff>
    </xdr:from>
    <xdr:to>
      <xdr:col>7</xdr:col>
      <xdr:colOff>438150</xdr:colOff>
      <xdr:row>30</xdr:row>
      <xdr:rowOff>28575</xdr:rowOff>
    </xdr:to>
    <xdr:graphicFrame macro="">
      <xdr:nvGraphicFramePr>
        <xdr:cNvPr id="2377906" name="Chart 1">
          <a:extLst>
            <a:ext uri="{FF2B5EF4-FFF2-40B4-BE49-F238E27FC236}">
              <a16:creationId xmlns:a16="http://schemas.microsoft.com/office/drawing/2014/main" id="{00000000-0008-0000-0400-0000B248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623888</xdr:colOff>
      <xdr:row>0</xdr:row>
      <xdr:rowOff>152400</xdr:rowOff>
    </xdr:from>
    <xdr:to>
      <xdr:col>11</xdr:col>
      <xdr:colOff>476250</xdr:colOff>
      <xdr:row>15</xdr:row>
      <xdr:rowOff>47625</xdr:rowOff>
    </xdr:to>
    <xdr:graphicFrame macro="">
      <xdr:nvGraphicFramePr>
        <xdr:cNvPr id="2379954" name="Chart 1">
          <a:extLst>
            <a:ext uri="{FF2B5EF4-FFF2-40B4-BE49-F238E27FC236}">
              <a16:creationId xmlns:a16="http://schemas.microsoft.com/office/drawing/2014/main" id="{00000000-0008-0000-0600-0000B250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mond" refreshedDate="43252.70227696759" missingItemsLimit="0" createdVersion="1" refreshedVersion="4" recordCount="2" upgradeOnRefresh="1" xr:uid="{00000000-000A-0000-FFFF-FFFF00000000}">
  <cacheSource type="worksheet">
    <worksheetSource ref="A1:M1" sheet="AuditProperties"/>
  </cacheSource>
  <cacheFields count="13">
    <cacheField name="AuditItem Id" numFmtId="0">
      <sharedItems containsSemiMixedTypes="0" containsString="0" containsNumber="1" containsInteger="1" minValue="34004867" maxValue="34004918"/>
    </cacheField>
    <cacheField name="AuditItem Id Url" numFmtId="0">
      <sharedItems/>
    </cacheField>
    <cacheField name="AuditItem Timestamp" numFmtId="0">
      <sharedItems/>
    </cacheField>
    <cacheField name="Contact Id" numFmtId="0">
      <sharedItems containsSemiMixedTypes="0" containsString="0" containsNumber="1" containsInteger="1" minValue="37415038" maxValue="37415038"/>
    </cacheField>
    <cacheField name="Contact Id Url" numFmtId="0">
      <sharedItems/>
    </cacheField>
    <cacheField name="FirstName" numFmtId="0">
      <sharedItems count="2">
        <s v="Alex"/>
        <s v="Cynthia M." u="1"/>
      </sharedItems>
    </cacheField>
    <cacheField name="LastName" numFmtId="0">
      <sharedItems count="2">
        <s v="Sirota"/>
        <s v="David" u="1"/>
      </sharedItems>
    </cacheField>
    <cacheField name="Email" numFmtId="0">
      <sharedItems/>
    </cacheField>
    <cacheField name="Organization" numFmtId="0">
      <sharedItems containsNonDate="0" containsString="0" containsBlank="1" count="1">
        <m/>
      </sharedItems>
    </cacheField>
    <cacheField name="Message" numFmtId="0">
      <sharedItems/>
    </cacheField>
    <cacheField name="Severity" numFmtId="0">
      <sharedItems/>
    </cacheField>
    <cacheField name="OrderType" numFmtId="0">
      <sharedItems count="1">
        <s v="EventRegistration"/>
      </sharedItems>
    </cacheField>
    <cacheField name="Receipt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mond" refreshedDate="43280.579441550923" missingItemsLimit="0" createdVersion="6" refreshedVersion="6" minRefreshableVersion="3" recordCount="1016" xr:uid="{7E415CBD-59F2-43FF-B8FC-0C9AEC11026D}">
  <cacheSource type="worksheet">
    <worksheetSource ref="A1:BE1" sheet="Contacts"/>
  </cacheSource>
  <cacheFields count="57">
    <cacheField name="Id" numFmtId="0">
      <sharedItems containsString="0" containsBlank="1" containsNumber="1" containsInteger="1" minValue="32090502" maxValue="46701710"/>
    </cacheField>
    <cacheField name="Archived" numFmtId="0">
      <sharedItems containsBlank="1"/>
    </cacheField>
    <cacheField name="Donor" numFmtId="0">
      <sharedItems containsBlank="1"/>
    </cacheField>
    <cacheField name="Event registrant" numFmtId="0">
      <sharedItems containsBlank="1"/>
    </cacheField>
    <cacheField name="Member" numFmtId="0">
      <sharedItems containsBlank="1"/>
    </cacheField>
    <cacheField name="Suspended member" numFmtId="0">
      <sharedItems containsBlank="1"/>
    </cacheField>
    <cacheField name="Event announcements" numFmtId="0">
      <sharedItems containsBlank="1"/>
    </cacheField>
    <cacheField name="Member emails and newsletters" numFmtId="0">
      <sharedItems containsBlank="1"/>
    </cacheField>
    <cacheField name="Email delivery disabled" numFmtId="0">
      <sharedItems containsBlank="1"/>
    </cacheField>
    <cacheField name="Receiving emails disabled" numFmtId="0">
      <sharedItems containsBlank="1"/>
    </cacheField>
    <cacheField name="Balance" numFmtId="0">
      <sharedItems containsString="0" containsBlank="1" containsNumber="1" containsInteger="1" minValue="0" maxValue="0"/>
    </cacheField>
    <cacheField name="Total donated" numFmtId="0">
      <sharedItems containsString="0" containsBlank="1" containsNumber="1" containsInteger="1" minValue="0" maxValue="0"/>
    </cacheField>
    <cacheField name="Registered for specific event" numFmtId="0">
      <sharedItems containsNonDate="0" containsString="0" containsBlank="1"/>
    </cacheField>
    <cacheField name="Profile last updated" numFmtId="0">
      <sharedItems containsNonDate="0" containsDate="1" containsString="0" containsBlank="1" minDate="2017-02-20T00:00:00" maxDate="2018-06-30T00:00:00"/>
    </cacheField>
    <cacheField name="Profile last updated by" numFmtId="0">
      <sharedItems containsString="0" containsBlank="1" containsNumber="1" containsInteger="1" minValue="32090502" maxValue="32127162"/>
    </cacheField>
    <cacheField name="Creation date" numFmtId="0">
      <sharedItems containsNonDate="0" containsDate="1" containsString="0" containsBlank="1" minDate="2016-03-22T00:00:00" maxDate="2018-06-30T00:00:00"/>
    </cacheField>
    <cacheField name="Last login date" numFmtId="0">
      <sharedItems containsNonDate="0" containsDate="1" containsString="0" containsBlank="1" minDate="2017-04-28T00:00:00" maxDate="2018-06-29T00:00:00"/>
    </cacheField>
    <cacheField name="Administrator role" numFmtId="0">
      <sharedItems containsBlank="1"/>
    </cacheField>
    <cacheField name="Notes" numFmtId="0">
      <sharedItems containsBlank="1"/>
    </cacheField>
    <cacheField name="Terms of use accepted" numFmtId="0">
      <sharedItems containsBlank="1"/>
    </cacheField>
    <cacheField name="Subscription source" numFmtId="0">
      <sharedItems containsBlank="1"/>
    </cacheField>
    <cacheField name="Member role" numFmtId="0">
      <sharedItems containsNonDate="0" containsString="0" containsBlank="1"/>
    </cacheField>
    <cacheField name="Member since" numFmtId="0">
      <sharedItems containsNonDate="0" containsDate="1" containsString="0" containsBlank="1" minDate="2016-03-23T00:00:00" maxDate="2018-06-30T00:00:00"/>
    </cacheField>
    <cacheField name="Renewal due" numFmtId="0">
      <sharedItems containsNonDate="0" containsString="0" containsBlank="1"/>
    </cacheField>
    <cacheField name="Membership level ID" numFmtId="0">
      <sharedItems containsString="0" containsBlank="1" containsNumber="1" containsInteger="1" minValue="791427" maxValue="791522"/>
    </cacheField>
    <cacheField name="Access to profile by others" numFmtId="0">
      <sharedItems containsBlank="1"/>
    </cacheField>
    <cacheField name="Renewal date last changed" numFmtId="0">
      <sharedItems containsNonDate="0" containsString="0" containsBlank="1"/>
    </cacheField>
    <cacheField name="Level last changed" numFmtId="0">
      <sharedItems containsNonDate="0" containsDate="1" containsString="0" containsBlank="1" minDate="2016-04-13T00:00:00" maxDate="2018-06-30T00:00:00"/>
    </cacheField>
    <cacheField name="Bundle ID" numFmtId="0">
      <sharedItems containsNonDate="0" containsString="0" containsBlank="1"/>
    </cacheField>
    <cacheField name="Membership status" numFmtId="0">
      <sharedItems containsBlank="1" count="3">
        <s v="Active"/>
        <s v="Lapsed"/>
        <m/>
      </sharedItems>
    </cacheField>
    <cacheField name="Membership enabled" numFmtId="0">
      <sharedItems containsBlank="1"/>
    </cacheField>
    <cacheField name="User ID" numFmtId="0">
      <sharedItems containsString="0" containsBlank="1" containsNumber="1" containsInteger="1" minValue="32090502" maxValue="46701710"/>
    </cacheField>
    <cacheField name="First name" numFmtId="0">
      <sharedItems containsBlank="1"/>
    </cacheField>
    <cacheField name="Last name" numFmtId="0">
      <sharedItems containsBlank="1"/>
    </cacheField>
    <cacheField name="Organization" numFmtId="0">
      <sharedItems containsBlank="1"/>
    </cacheField>
    <cacheField name="Title" numFmtId="0">
      <sharedItems containsBlank="1"/>
    </cacheField>
    <cacheField name="Position / Areas of Responsibility" numFmtId="0">
      <sharedItems containsBlank="1" longText="1"/>
    </cacheField>
    <cacheField name="Email" numFmtId="0">
      <sharedItems containsBlank="1"/>
    </cacheField>
    <cacheField name="Phone" numFmtId="0">
      <sharedItems containsBlank="1"/>
    </cacheField>
    <cacheField name="Middle Name" numFmtId="0">
      <sharedItems containsBlank="1"/>
    </cacheField>
    <cacheField name="Suffix" numFmtId="0">
      <sharedItems containsBlank="1"/>
    </cacheField>
    <cacheField name="E-mail 2 Address" numFmtId="0">
      <sharedItems containsBlank="1"/>
    </cacheField>
    <cacheField name="Mobile Phone" numFmtId="0">
      <sharedItems containsBlank="1"/>
    </cacheField>
    <cacheField name="Office Phone" numFmtId="0">
      <sharedItems containsBlank="1"/>
    </cacheField>
    <cacheField name="Office Fax" numFmtId="0">
      <sharedItems containsBlank="1"/>
    </cacheField>
    <cacheField name="Company" numFmtId="0">
      <sharedItems containsBlank="1"/>
    </cacheField>
    <cacheField name="Job Title" numFmtId="0">
      <sharedItems containsBlank="1"/>
    </cacheField>
    <cacheField name="Other Phone" numFmtId="0">
      <sharedItems containsBlank="1"/>
    </cacheField>
    <cacheField name="Categories" numFmtId="0">
      <sharedItems containsBlank="1"/>
    </cacheField>
    <cacheField name="List Note" numFmtId="0">
      <sharedItems containsBlank="1"/>
    </cacheField>
    <cacheField name="Street Address" numFmtId="0">
      <sharedItems containsBlank="1"/>
    </cacheField>
    <cacheField name="City" numFmtId="0">
      <sharedItems containsBlank="1"/>
    </cacheField>
    <cacheField name="State" numFmtId="0">
      <sharedItems containsBlank="1"/>
    </cacheField>
    <cacheField name="Zipcode" numFmtId="0">
      <sharedItems containsBlank="1"/>
    </cacheField>
    <cacheField name="Directory Placement" numFmtId="0">
      <sharedItems containsBlank="1" longText="1"/>
    </cacheField>
    <cacheField name="Contracts, Claims/Billing, Care Coordination" numFmtId="0">
      <sharedItems containsBlank="1"/>
    </cacheField>
    <cacheField name="Membership Level" numFmtId="0">
      <sharedItems containsBlank="1" count="3">
        <s v="Directory Designee"/>
        <s v="IAMHP Staff"/>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n v="34004918"/>
    <s v="https://api.wildapricot.org/v2/accounts/221748/AuditLogItems/34004918"/>
    <s v="2017-10-13T18:58:34.55Z0"/>
    <n v="37415038"/>
    <s v="https://api.wildapricot.org/v2/accounts/221748/Contacts/37415038"/>
    <x v="0"/>
    <x v="0"/>
    <s v="alex@newpathconsulting.com"/>
    <x v="0"/>
    <s v="Stripe - invalid_expiry_year Your card's expiration year is invalid."/>
    <s v="Error"/>
    <x v="0"/>
    <m/>
  </r>
  <r>
    <n v="34004867"/>
    <s v="https://api.wildapricot.org/v2/accounts/221748/AuditLogItems/34004867"/>
    <s v="2017-10-13T18:57:21.18Z0"/>
    <n v="37415038"/>
    <s v="https://api.wildapricot.org/v2/accounts/221748/Contacts/37415038"/>
    <x v="0"/>
    <x v="0"/>
    <s v="alex@newpathconsulting.com"/>
    <x v="0"/>
    <s v="Invoice #00003 generated for Event registration by Sirota, Alex. Amount $100.00."/>
    <s v="Information"/>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6">
  <r>
    <n v="37818704"/>
    <b v="0"/>
    <b v="0"/>
    <b v="0"/>
    <b v="1"/>
    <b v="0"/>
    <b v="1"/>
    <b v="1"/>
    <b v="0"/>
    <b v="0"/>
    <n v="0"/>
    <n v="0"/>
    <m/>
    <d v="2017-07-07T00:00:00"/>
    <n v="32127162"/>
    <d v="2017-02-24T00:00:00"/>
    <m/>
    <m/>
    <s v=""/>
    <b v="0"/>
    <s v="137689Subscribe to our Newsletter"/>
    <m/>
    <d v="2017-02-23T00:00:00"/>
    <m/>
    <n v="791522"/>
    <b v="1"/>
    <m/>
    <m/>
    <m/>
    <x v="0"/>
    <b v="1"/>
    <n v="37818704"/>
    <s v="Marge"/>
    <s v="Ackermann"/>
    <s v="BEACON Health Options"/>
    <s v=""/>
    <s v=""/>
    <s v="marge.ackermann@beaconhealthoptions.com"/>
    <s v=""/>
    <s v=""/>
    <s v=""/>
    <s v=""/>
    <s v=""/>
    <s v=""/>
    <s v=""/>
    <s v=""/>
    <s v=""/>
    <s v=""/>
    <s v=""/>
    <s v=""/>
    <s v=""/>
    <s v=""/>
    <s v=""/>
    <s v=""/>
    <s v="371616Newsletter Recipient, 372311Business Member"/>
    <m/>
    <x v="0"/>
  </r>
  <r>
    <n v="41056681"/>
    <b v="0"/>
    <b v="0"/>
    <b v="1"/>
    <b v="1"/>
    <b v="0"/>
    <b v="1"/>
    <b v="1"/>
    <b v="0"/>
    <b v="0"/>
    <n v="0"/>
    <n v="0"/>
    <m/>
    <d v="2018-03-02T00:00:00"/>
    <n v="32127162"/>
    <d v="2017-08-18T00:00:00"/>
    <m/>
    <m/>
    <s v=""/>
    <b v="0"/>
    <s v="137689Subscribe to our Newsletter"/>
    <m/>
    <d v="2017-09-13T00:00:00"/>
    <m/>
    <n v="791522"/>
    <b v="1"/>
    <m/>
    <d v="2017-09-13T00:00:00"/>
    <m/>
    <x v="0"/>
    <b v="1"/>
    <n v="41056681"/>
    <s v="Marcus"/>
    <s v="Acoff"/>
    <s v="Quellinium"/>
    <s v=""/>
    <s v=""/>
    <s v="marcus.l.acoff@quellinium.com"/>
    <s v="618.977.8213"/>
    <s v=""/>
    <s v=""/>
    <s v="marcus.l.acoff@gmail.com"/>
    <s v=""/>
    <s v=""/>
    <s v=""/>
    <s v=""/>
    <s v=""/>
    <s v=""/>
    <s v=""/>
    <s v="BEP"/>
    <s v="245 Eagle Ridge"/>
    <s v="O Fallon"/>
    <s v="IL"/>
    <s v="62269"/>
    <s v="371616Newsletter Recipient"/>
    <m/>
    <x v="0"/>
  </r>
  <r>
    <n v="37818708"/>
    <b v="0"/>
    <b v="0"/>
    <b v="0"/>
    <b v="1"/>
    <b v="0"/>
    <b v="1"/>
    <b v="1"/>
    <b v="0"/>
    <b v="0"/>
    <n v="0"/>
    <n v="0"/>
    <m/>
    <d v="2018-03-02T00:00:00"/>
    <n v="32127162"/>
    <d v="2017-02-24T00:00:00"/>
    <m/>
    <m/>
    <s v=""/>
    <b v="0"/>
    <s v="137689Subscribe to our Newsletter"/>
    <m/>
    <d v="2017-02-23T00:00:00"/>
    <m/>
    <n v="791522"/>
    <b v="1"/>
    <m/>
    <m/>
    <m/>
    <x v="0"/>
    <b v="1"/>
    <n v="37818708"/>
    <s v="Matthew"/>
    <s v="Agnone"/>
    <s v="Meridian Health Plan"/>
    <s v=""/>
    <s v=""/>
    <s v="matthew.agnone@mhplan.com"/>
    <s v="313.324.1821"/>
    <s v=""/>
    <s v=""/>
    <s v=""/>
    <s v=""/>
    <s v=""/>
    <s v=""/>
    <s v=""/>
    <s v="SVP Finance"/>
    <s v=""/>
    <s v=""/>
    <s v=""/>
    <s v=""/>
    <s v=""/>
    <s v=""/>
    <s v=""/>
    <s v="335742Chief Financial Officer, 371616Newsletter Recipient, 372294Finance Committee"/>
    <m/>
    <x v="0"/>
  </r>
  <r>
    <n v="39194841"/>
    <b v="0"/>
    <b v="0"/>
    <b v="0"/>
    <b v="1"/>
    <b v="0"/>
    <b v="1"/>
    <b v="1"/>
    <b v="0"/>
    <b v="0"/>
    <n v="0"/>
    <n v="0"/>
    <m/>
    <d v="2017-06-21T00:00:00"/>
    <n v="32127162"/>
    <d v="2017-06-02T00:00:00"/>
    <m/>
    <m/>
    <s v=""/>
    <b v="0"/>
    <m/>
    <m/>
    <d v="2017-06-02T00:00:00"/>
    <m/>
    <n v="791522"/>
    <b v="1"/>
    <m/>
    <m/>
    <m/>
    <x v="0"/>
    <b v="1"/>
    <n v="39194841"/>
    <s v="Karen"/>
    <s v="Aguilar"/>
    <s v="Chicago Hearing Society"/>
    <s v=""/>
    <s v=""/>
    <s v="KAguilar@anixter.org"/>
    <s v=""/>
    <s v=""/>
    <s v=""/>
    <s v=""/>
    <s v=""/>
    <s v=""/>
    <s v=""/>
    <s v=""/>
    <s v=""/>
    <s v=""/>
    <s v=""/>
    <s v=""/>
    <s v=""/>
    <s v=""/>
    <s v=""/>
    <s v=""/>
    <s v="371616Newsletter Recipient"/>
    <m/>
    <x v="0"/>
  </r>
  <r>
    <n v="46436607"/>
    <b v="0"/>
    <b v="0"/>
    <b v="0"/>
    <b v="1"/>
    <b v="0"/>
    <b v="1"/>
    <b v="1"/>
    <b v="0"/>
    <b v="0"/>
    <n v="0"/>
    <n v="0"/>
    <m/>
    <d v="2018-06-21T00:00:00"/>
    <n v="32127162"/>
    <d v="2018-06-21T00:00:00"/>
    <m/>
    <m/>
    <s v=""/>
    <b v="0"/>
    <m/>
    <m/>
    <d v="2018-06-21T00:00:00"/>
    <m/>
    <n v="791522"/>
    <b v="1"/>
    <m/>
    <d v="2018-06-21T00:00:00"/>
    <m/>
    <x v="0"/>
    <b v="1"/>
    <n v="46436607"/>
    <s v="Jenny"/>
    <s v="Aguirre"/>
    <s v="Illinois Department of Public Health"/>
    <s v=""/>
    <s v=""/>
    <s v="jenny.aguirre@illinois.gov"/>
    <s v=""/>
    <s v=""/>
    <s v=""/>
    <s v=""/>
    <s v=""/>
    <s v=""/>
    <s v=""/>
    <s v="Illinois Department of Public Health"/>
    <s v=""/>
    <s v=""/>
    <s v=""/>
    <s v=""/>
    <s v=""/>
    <s v=""/>
    <s v=""/>
    <s v=""/>
    <s v="371616Newsletter Recipient"/>
    <m/>
    <x v="0"/>
  </r>
  <r>
    <n v="37818717"/>
    <b v="0"/>
    <b v="0"/>
    <b v="0"/>
    <b v="1"/>
    <b v="0"/>
    <b v="1"/>
    <b v="1"/>
    <b v="0"/>
    <b v="0"/>
    <n v="0"/>
    <n v="0"/>
    <m/>
    <d v="2017-02-24T00:00:00"/>
    <n v="32127162"/>
    <d v="2017-02-24T00:00:00"/>
    <m/>
    <m/>
    <s v=""/>
    <b v="0"/>
    <m/>
    <m/>
    <d v="2017-02-23T00:00:00"/>
    <m/>
    <n v="791522"/>
    <b v="1"/>
    <m/>
    <m/>
    <m/>
    <x v="0"/>
    <b v="1"/>
    <n v="37818717"/>
    <s v="Steve"/>
    <s v="Aguirre"/>
    <s v="Family Health Network"/>
    <s v=""/>
    <s v=""/>
    <s v="SAguirre@myfhn.com"/>
    <s v=""/>
    <s v=""/>
    <s v=""/>
    <s v=""/>
    <s v=""/>
    <s v=""/>
    <s v=""/>
    <s v=""/>
    <s v=""/>
    <s v=""/>
    <s v=""/>
    <s v=""/>
    <s v=""/>
    <s v=""/>
    <s v=""/>
    <s v=""/>
    <s v="371616Newsletter Recipient"/>
    <m/>
    <x v="0"/>
  </r>
  <r>
    <n v="44666729"/>
    <b v="0"/>
    <b v="0"/>
    <b v="0"/>
    <b v="1"/>
    <b v="0"/>
    <b v="1"/>
    <b v="1"/>
    <b v="0"/>
    <b v="0"/>
    <n v="0"/>
    <n v="0"/>
    <m/>
    <d v="2018-05-18T00:00:00"/>
    <n v="32127162"/>
    <d v="2018-04-16T00:00:00"/>
    <m/>
    <m/>
    <s v=""/>
    <b v="0"/>
    <m/>
    <m/>
    <d v="2018-04-16T00:00:00"/>
    <m/>
    <n v="791522"/>
    <b v="1"/>
    <m/>
    <d v="2018-04-16T00:00:00"/>
    <m/>
    <x v="0"/>
    <b v="1"/>
    <n v="44666729"/>
    <s v="Rebecca"/>
    <s v="Aiken"/>
    <s v="Molina Healthcare of Illinois, Inc."/>
    <s v=""/>
    <s v=""/>
    <s v="rebecca.aiken@molinahealthcare.com"/>
    <s v=""/>
    <s v=""/>
    <s v=""/>
    <s v=""/>
    <s v=""/>
    <s v=""/>
    <s v=""/>
    <s v=""/>
    <s v=""/>
    <s v=""/>
    <s v=""/>
    <s v=""/>
    <s v=""/>
    <s v=""/>
    <s v=""/>
    <s v=""/>
    <s v="371616Newsletter Recipient, 372293Quality Committee"/>
    <m/>
    <x v="0"/>
  </r>
  <r>
    <n v="34087534"/>
    <b v="0"/>
    <b v="0"/>
    <b v="0"/>
    <b v="1"/>
    <b v="0"/>
    <b v="1"/>
    <b v="1"/>
    <b v="0"/>
    <b v="0"/>
    <n v="0"/>
    <n v="0"/>
    <m/>
    <d v="2018-05-29T00:00:00"/>
    <n v="32127162"/>
    <d v="2016-08-29T00:00:00"/>
    <m/>
    <m/>
    <s v=""/>
    <b v="0"/>
    <m/>
    <m/>
    <d v="2016-08-29T00:00:00"/>
    <m/>
    <n v="791522"/>
    <b v="1"/>
    <m/>
    <m/>
    <m/>
    <x v="0"/>
    <b v="1"/>
    <n v="34087534"/>
    <s v="Dennis"/>
    <s v="Akotia"/>
    <s v="Molina Healthcare of Illinois, Inc."/>
    <s v=""/>
    <s v=""/>
    <s v="Dennis.Akotia@molinahealthcare.com"/>
    <s v="888.562.5442 x163902"/>
    <s v=""/>
    <s v=""/>
    <s v=""/>
    <s v=""/>
    <s v=""/>
    <s v=""/>
    <s v=""/>
    <s v=""/>
    <s v=""/>
    <s v=""/>
    <s v=""/>
    <s v=""/>
    <s v=""/>
    <s v=""/>
    <s v=""/>
    <s v="335742Chief Financial Officer, 371616Newsletter Recipient, 372294Finance Committee, 372295Board of Directors/General Distribution List, 372297Operations Committee, 428250Hospital Assessment, 447857HFS Ops Workgroup"/>
    <m/>
    <x v="0"/>
  </r>
  <r>
    <n v="46436635"/>
    <b v="0"/>
    <b v="0"/>
    <b v="0"/>
    <b v="1"/>
    <b v="0"/>
    <b v="1"/>
    <b v="1"/>
    <b v="0"/>
    <b v="0"/>
    <n v="0"/>
    <n v="0"/>
    <m/>
    <d v="2018-06-21T00:00:00"/>
    <n v="32127162"/>
    <d v="2018-06-21T00:00:00"/>
    <m/>
    <m/>
    <s v=""/>
    <b v="0"/>
    <m/>
    <m/>
    <d v="2018-06-21T00:00:00"/>
    <m/>
    <n v="791522"/>
    <b v="1"/>
    <m/>
    <d v="2018-06-21T00:00:00"/>
    <m/>
    <x v="0"/>
    <b v="1"/>
    <n v="46436635"/>
    <s v="Barb"/>
    <s v="Albrecht"/>
    <s v="Merck"/>
    <s v=""/>
    <s v=""/>
    <s v="barbara.albrecht@merck.com"/>
    <s v=""/>
    <s v=""/>
    <s v=""/>
    <s v=""/>
    <s v=""/>
    <s v=""/>
    <s v=""/>
    <s v="Merck"/>
    <s v=""/>
    <s v=""/>
    <s v=""/>
    <s v=""/>
    <s v=""/>
    <s v=""/>
    <s v=""/>
    <s v=""/>
    <s v="371616Newsletter Recipient"/>
    <m/>
    <x v="0"/>
  </r>
  <r>
    <n v="44026481"/>
    <b v="0"/>
    <b v="0"/>
    <b v="0"/>
    <b v="1"/>
    <b v="0"/>
    <b v="1"/>
    <b v="1"/>
    <b v="0"/>
    <b v="0"/>
    <n v="0"/>
    <n v="0"/>
    <m/>
    <d v="2018-03-26T00:00:00"/>
    <n v="32127162"/>
    <d v="2018-03-02T00:00:00"/>
    <m/>
    <m/>
    <s v=""/>
    <b v="0"/>
    <m/>
    <m/>
    <d v="2018-03-02T00:00:00"/>
    <m/>
    <n v="791522"/>
    <b v="1"/>
    <m/>
    <d v="2018-03-02T00:00:00"/>
    <m/>
    <x v="0"/>
    <b v="1"/>
    <n v="44026481"/>
    <s v="Sharon"/>
    <s v="Alfano"/>
    <s v="Aetna Better Health of Illinois"/>
    <s v=""/>
    <s v=""/>
    <s v="alfanos@aetna.com"/>
    <s v="630.737.6756"/>
    <s v=""/>
    <s v=""/>
    <s v=""/>
    <s v=""/>
    <s v=""/>
    <s v=""/>
    <s v=""/>
    <s v=""/>
    <s v=""/>
    <s v=""/>
    <s v=""/>
    <s v=""/>
    <s v=""/>
    <s v=""/>
    <s v=""/>
    <s v="420941Hospitals - Contracts, 420942Hospitals - Claims &amp; Billing, 420943Hospitals - Care Coordination"/>
    <s v="10633525Contracts, 10633526Claims/Billing, 10633527Care Coordination"/>
    <x v="0"/>
  </r>
  <r>
    <n v="34514191"/>
    <b v="0"/>
    <b v="0"/>
    <b v="0"/>
    <b v="1"/>
    <b v="0"/>
    <b v="1"/>
    <b v="1"/>
    <b v="0"/>
    <b v="0"/>
    <n v="0"/>
    <n v="0"/>
    <m/>
    <d v="2018-03-02T00:00:00"/>
    <n v="32127162"/>
    <d v="2016-09-15T00:00:00"/>
    <m/>
    <m/>
    <s v=""/>
    <b v="0"/>
    <m/>
    <m/>
    <d v="2016-09-15T00:00:00"/>
    <m/>
    <n v="791522"/>
    <b v="1"/>
    <m/>
    <m/>
    <m/>
    <x v="0"/>
    <b v="1"/>
    <n v="34514191"/>
    <s v="Annette"/>
    <s v="Allen"/>
    <s v="FHN"/>
    <s v=""/>
    <s v=""/>
    <s v="AAllen@myfhn.com"/>
    <s v="312.605.9877"/>
    <s v=""/>
    <s v=""/>
    <s v=""/>
    <s v=""/>
    <s v=""/>
    <s v=""/>
    <s v=""/>
    <s v=""/>
    <s v=""/>
    <s v=""/>
    <s v=""/>
    <s v=""/>
    <s v=""/>
    <s v=""/>
    <s v=""/>
    <s v="352999Credentialing - Vendor Contact, 371616Newsletter Recipient"/>
    <m/>
    <x v="0"/>
  </r>
  <r>
    <n v="37818742"/>
    <b v="0"/>
    <b v="0"/>
    <b v="0"/>
    <b v="1"/>
    <b v="0"/>
    <b v="1"/>
    <b v="1"/>
    <b v="0"/>
    <b v="0"/>
    <n v="0"/>
    <n v="0"/>
    <m/>
    <d v="2018-03-02T00:00:00"/>
    <n v="32127162"/>
    <d v="2017-02-24T00:00:00"/>
    <m/>
    <m/>
    <s v=""/>
    <b v="0"/>
    <m/>
    <m/>
    <d v="2017-02-23T00:00:00"/>
    <m/>
    <n v="791522"/>
    <b v="1"/>
    <m/>
    <m/>
    <m/>
    <x v="0"/>
    <b v="1"/>
    <n v="37818742"/>
    <s v="Dr. Tom"/>
    <s v="Allen"/>
    <s v="BlueCross BlueShield of Illinois"/>
    <s v=""/>
    <s v="Psychiatry"/>
    <s v="tom_allen@bcbsil.com"/>
    <s v="312.653.2941"/>
    <s v=""/>
    <s v=""/>
    <s v=""/>
    <s v=""/>
    <s v=""/>
    <s v=""/>
    <s v=""/>
    <s v=""/>
    <s v=""/>
    <s v=""/>
    <s v=""/>
    <s v=""/>
    <s v=""/>
    <s v=""/>
    <s v=""/>
    <s v="371616Newsletter Recipient, 372292Medical Directors, 372293Quality Committee, 420949Methadone Treatment - Care Coordination"/>
    <s v="10633527Care Coordination"/>
    <x v="0"/>
  </r>
  <r>
    <n v="34021551"/>
    <b v="0"/>
    <b v="0"/>
    <b v="0"/>
    <b v="1"/>
    <b v="0"/>
    <b v="1"/>
    <b v="1"/>
    <b v="0"/>
    <b v="0"/>
    <n v="0"/>
    <n v="0"/>
    <m/>
    <d v="2018-03-02T00:00:00"/>
    <n v="32127162"/>
    <d v="2016-08-22T00:00:00"/>
    <m/>
    <m/>
    <s v=""/>
    <b v="0"/>
    <m/>
    <m/>
    <d v="2016-08-22T00:00:00"/>
    <m/>
    <n v="791522"/>
    <b v="1"/>
    <m/>
    <m/>
    <m/>
    <x v="0"/>
    <b v="1"/>
    <n v="34021551"/>
    <s v="John"/>
    <s v="Allen"/>
    <s v="Community Care Alliance of Illinois (CCAI)"/>
    <s v=""/>
    <s v=""/>
    <s v="JAllen@myfhn.com"/>
    <s v="312.561.2516"/>
    <s v=""/>
    <s v=""/>
    <s v=""/>
    <s v=""/>
    <s v=""/>
    <s v=""/>
    <s v=""/>
    <s v=""/>
    <s v=""/>
    <s v=""/>
    <s v=""/>
    <s v=""/>
    <s v=""/>
    <s v=""/>
    <s v=""/>
    <m/>
    <m/>
    <x v="0"/>
  </r>
  <r>
    <n v="41535091"/>
    <b v="0"/>
    <b v="0"/>
    <b v="1"/>
    <b v="1"/>
    <b v="0"/>
    <b v="1"/>
    <b v="1"/>
    <b v="0"/>
    <b v="0"/>
    <n v="0"/>
    <n v="0"/>
    <m/>
    <d v="2017-09-18T00:00:00"/>
    <n v="32127162"/>
    <d v="2017-09-18T00:00:00"/>
    <d v="2017-09-18T00:00:00"/>
    <m/>
    <s v=""/>
    <b v="0"/>
    <m/>
    <m/>
    <d v="2017-09-18T00:00:00"/>
    <m/>
    <n v="791522"/>
    <b v="1"/>
    <m/>
    <d v="2017-09-18T00:00:00"/>
    <m/>
    <x v="0"/>
    <b v="1"/>
    <n v="41535091"/>
    <s v="Monica"/>
    <s v="Allen"/>
    <s v="Bridges"/>
    <s v="Partner"/>
    <s v=""/>
    <s v="monicaballen@ameritech.net"/>
    <s v="312.296.3508"/>
    <s v=""/>
    <s v=""/>
    <s v=""/>
    <s v=""/>
    <s v=""/>
    <s v=""/>
    <s v=""/>
    <s v=""/>
    <s v=""/>
    <s v=""/>
    <s v=""/>
    <s v=""/>
    <s v=""/>
    <s v=""/>
    <s v=""/>
    <s v="371616Newsletter Recipient"/>
    <m/>
    <x v="0"/>
  </r>
  <r>
    <n v="37770323"/>
    <b v="0"/>
    <b v="0"/>
    <b v="0"/>
    <b v="1"/>
    <b v="0"/>
    <b v="1"/>
    <b v="1"/>
    <b v="0"/>
    <b v="0"/>
    <n v="0"/>
    <n v="0"/>
    <m/>
    <d v="2018-03-02T00:00:00"/>
    <n v="32127162"/>
    <d v="2017-02-20T00:00:00"/>
    <m/>
    <m/>
    <s v=""/>
    <b v="0"/>
    <m/>
    <m/>
    <d v="2017-02-20T00:00:00"/>
    <m/>
    <n v="791522"/>
    <b v="1"/>
    <m/>
    <m/>
    <m/>
    <x v="0"/>
    <b v="1"/>
    <n v="37770323"/>
    <s v="Pamela"/>
    <s v="Althoff"/>
    <s v="Illinois General Assembly"/>
    <s v="Senator"/>
    <s v="Senator Pamela J. Althoff (R)_x000a_32nd District_x000a_Republican Caucus Chair_x000a__x000a_Springfield Office:_x000a_Senator 32nd District_x000a_309H Capitol Building_x000a_Springfield, IL   62706_x000a_(217) 782-8000_x000a_(217) 782-7818 FAX_x000a_ _x000a_District Office:_x000a_5400 W. Elm Street_x000a_Suite 103_x000a_McHenry, IL  60050_x000a_(815) 455-6330_x000a_(815) 679-6756 FAX"/>
    <s v="pamela@pamelaalthoff.net"/>
    <s v=""/>
    <s v="J."/>
    <s v=""/>
    <s v=""/>
    <s v=""/>
    <s v="217.782.8000"/>
    <s v=""/>
    <s v=""/>
    <s v=""/>
    <s v=""/>
    <s v=""/>
    <s v=""/>
    <s v=""/>
    <s v=""/>
    <s v=""/>
    <s v=""/>
    <s v="371609Senator, 371616Newsletter Recipient"/>
    <m/>
    <x v="0"/>
  </r>
  <r>
    <n v="37822778"/>
    <b v="0"/>
    <b v="0"/>
    <b v="0"/>
    <b v="1"/>
    <b v="0"/>
    <b v="1"/>
    <b v="1"/>
    <b v="0"/>
    <b v="0"/>
    <n v="0"/>
    <n v="0"/>
    <m/>
    <d v="2017-02-24T00:00:00"/>
    <n v="32127162"/>
    <d v="2017-02-24T00:00:00"/>
    <m/>
    <m/>
    <s v=""/>
    <b v="0"/>
    <m/>
    <m/>
    <d v="2017-02-24T00:00:00"/>
    <m/>
    <n v="791522"/>
    <b v="1"/>
    <m/>
    <m/>
    <m/>
    <x v="0"/>
    <b v="1"/>
    <n v="37822778"/>
    <s v="Stephanie"/>
    <s v="Altman"/>
    <s v="Shriver"/>
    <s v=""/>
    <s v=""/>
    <s v="stephaniealtman@povertylaw.org"/>
    <s v=""/>
    <s v=""/>
    <s v=""/>
    <s v=""/>
    <s v=""/>
    <s v=""/>
    <s v=""/>
    <s v=""/>
    <s v=""/>
    <s v=""/>
    <s v=""/>
    <s v=""/>
    <s v=""/>
    <s v=""/>
    <s v=""/>
    <s v=""/>
    <s v="371616Newsletter Recipient"/>
    <m/>
    <x v="0"/>
  </r>
  <r>
    <n v="44973488"/>
    <b v="0"/>
    <b v="0"/>
    <b v="0"/>
    <b v="1"/>
    <b v="0"/>
    <b v="1"/>
    <b v="1"/>
    <b v="0"/>
    <b v="0"/>
    <n v="0"/>
    <n v="0"/>
    <m/>
    <d v="2018-05-04T00:00:00"/>
    <n v="32127162"/>
    <d v="2018-05-04T00:00:00"/>
    <m/>
    <m/>
    <s v=""/>
    <b v="0"/>
    <m/>
    <m/>
    <d v="2018-05-04T00:00:00"/>
    <m/>
    <n v="791522"/>
    <b v="1"/>
    <m/>
    <d v="2018-05-04T00:00:00"/>
    <m/>
    <x v="0"/>
    <b v="1"/>
    <n v="44973488"/>
    <s v="Karen"/>
    <s v="Amazigo"/>
    <s v="Harmony Health Plan of Illinois - A WellCare Company"/>
    <s v=""/>
    <s v=""/>
    <s v="karen.amazigo@wellcare.com"/>
    <s v="312.516.4941"/>
    <s v=""/>
    <s v=""/>
    <s v=""/>
    <s v=""/>
    <s v=""/>
    <s v=""/>
    <s v=""/>
    <s v=""/>
    <s v=""/>
    <s v=""/>
    <s v=""/>
    <s v=""/>
    <s v=""/>
    <s v=""/>
    <s v=""/>
    <s v="335716Hospitals, 335723Physicians, 335726Mental Health, 335727Substance Use Disorder, 335728Hospice, 335729Home Health, 335730Durable Medical Equipment, 335731FQHC, 335734Public Health Department, 336130Children's Services, 371616Newsletter Recipient, 376714Methadone Treatment, 388565Community Mental Health"/>
    <s v="10633525Contracts"/>
    <x v="0"/>
  </r>
  <r>
    <n v="37774179"/>
    <b v="0"/>
    <b v="0"/>
    <b v="0"/>
    <b v="1"/>
    <b v="0"/>
    <b v="1"/>
    <b v="0"/>
    <b v="0"/>
    <b v="0"/>
    <n v="0"/>
    <n v="0"/>
    <m/>
    <d v="2018-03-02T00:00:00"/>
    <n v="32127162"/>
    <d v="2017-02-20T00:00:00"/>
    <m/>
    <m/>
    <s v=""/>
    <b v="0"/>
    <m/>
    <m/>
    <d v="2017-02-20T00:00:00"/>
    <m/>
    <n v="791522"/>
    <b v="1"/>
    <m/>
    <m/>
    <m/>
    <x v="0"/>
    <b v="1"/>
    <n v="37774179"/>
    <s v="Carol"/>
    <s v="Ammons"/>
    <s v="Illinois General Assembly"/>
    <s v=""/>
    <s v="Representative Carol Ammons (D)_x000a_103rd District _x0009__x000a__x000a_Springfield Office:_x000a_282-S Stratton Office Building_x000a_Springfield, IL   62706_x000a_(217) 558-1009_x000a__x000a_District Office:_x000a_407 E. University Ave._x000a_Ste. A_x000a_Champaign, IL  61820_x000a_(217) 531-1660_x000a_(217) 666-7521 FAX"/>
    <s v="Assistance@StateRepCarolAmmons.com"/>
    <s v=""/>
    <s v=""/>
    <s v=""/>
    <s v=""/>
    <s v=""/>
    <s v="217.558.1009"/>
    <s v=""/>
    <s v=""/>
    <s v=""/>
    <s v=""/>
    <s v=""/>
    <s v=""/>
    <s v=""/>
    <s v=""/>
    <s v=""/>
    <s v=""/>
    <s v="371616Newsletter Recipient, 371627House of Representatives"/>
    <m/>
    <x v="0"/>
  </r>
  <r>
    <n v="37770359"/>
    <b v="0"/>
    <b v="0"/>
    <b v="0"/>
    <b v="1"/>
    <b v="0"/>
    <b v="1"/>
    <b v="1"/>
    <b v="0"/>
    <b v="0"/>
    <n v="0"/>
    <n v="0"/>
    <m/>
    <d v="2018-03-02T00:00:00"/>
    <n v="32127162"/>
    <d v="2017-02-20T00:00:00"/>
    <m/>
    <m/>
    <s v=""/>
    <b v="0"/>
    <m/>
    <m/>
    <d v="2017-02-20T00:00:00"/>
    <m/>
    <n v="791522"/>
    <b v="1"/>
    <m/>
    <m/>
    <m/>
    <x v="0"/>
    <b v="1"/>
    <n v="37770359"/>
    <s v="Neil"/>
    <s v="Anderson"/>
    <s v="Illinois General Assembly"/>
    <s v=""/>
    <s v="Senator Neil Anderson (R)_x000a_36th District_x000a__x000a_Springfield Office:_x000a_Senator 36th District_x000a_M103D Capitol Building_x000a_Springfield, IL   62706_x000a_(217) 782-5957_x000a_(217) 782-0116 FAX_x000a_ _x000a_District Office:_x000a_1825 Avenue of the Cities_x000a_Suite 1_x000a_Moline, IL  61265_x000a_(309) 736-7084_x000a_(309) 736-7148 FAX"/>
    <s v=""/>
    <s v=""/>
    <s v=""/>
    <s v=""/>
    <s v=""/>
    <s v=""/>
    <s v="217.782.5957"/>
    <s v=""/>
    <s v=""/>
    <s v=""/>
    <s v=""/>
    <s v=""/>
    <s v=""/>
    <s v=""/>
    <s v=""/>
    <s v=""/>
    <s v=""/>
    <s v="371609Senator, 371616Newsletter Recipient"/>
    <m/>
    <x v="0"/>
  </r>
  <r>
    <n v="37818784"/>
    <b v="0"/>
    <b v="0"/>
    <b v="0"/>
    <b v="1"/>
    <b v="0"/>
    <b v="1"/>
    <b v="1"/>
    <b v="0"/>
    <b v="0"/>
    <n v="0"/>
    <n v="0"/>
    <m/>
    <d v="2017-02-24T00:00:00"/>
    <n v="32127162"/>
    <d v="2017-02-24T00:00:00"/>
    <m/>
    <m/>
    <s v=""/>
    <b v="0"/>
    <m/>
    <m/>
    <d v="2017-02-23T00:00:00"/>
    <m/>
    <n v="791522"/>
    <b v="1"/>
    <m/>
    <m/>
    <m/>
    <x v="0"/>
    <b v="1"/>
    <n v="37818784"/>
    <s v="Sheila"/>
    <s v="Anderson"/>
    <s v="Molina"/>
    <s v=""/>
    <s v=""/>
    <s v="Sheila.Anderson@MolinaHealthCare.com"/>
    <s v=""/>
    <s v=""/>
    <s v=""/>
    <s v=""/>
    <s v=""/>
    <s v=""/>
    <s v=""/>
    <s v=""/>
    <s v=""/>
    <s v=""/>
    <s v=""/>
    <s v=""/>
    <s v=""/>
    <s v=""/>
    <s v=""/>
    <s v=""/>
    <s v="371616Newsletter Recipient"/>
    <m/>
    <x v="0"/>
  </r>
  <r>
    <n v="37774192"/>
    <b v="0"/>
    <b v="0"/>
    <b v="0"/>
    <b v="1"/>
    <b v="0"/>
    <b v="1"/>
    <b v="1"/>
    <b v="0"/>
    <b v="0"/>
    <n v="0"/>
    <n v="0"/>
    <m/>
    <d v="2018-03-02T00:00:00"/>
    <n v="32127162"/>
    <d v="2017-02-20T00:00:00"/>
    <m/>
    <m/>
    <s v=""/>
    <b v="0"/>
    <m/>
    <m/>
    <d v="2017-02-20T00:00:00"/>
    <m/>
    <n v="791522"/>
    <b v="1"/>
    <m/>
    <m/>
    <m/>
    <x v="0"/>
    <b v="1"/>
    <n v="37774192"/>
    <s v="Steven"/>
    <s v="Andersson"/>
    <s v="Illinois General Assembly"/>
    <s v=""/>
    <s v="Representative Steven A. Andersson (R)_x000a_65th District_x000a__x000a_Springfield Office:_x000a_211-N Stratton Office Building_x000a_Springfield, IL   62706_x000a_(217) 782-5457_x000a__x000a_District Office:_x000a_127 S. 1st Street_x000a_Suite 204_x000a_Geneva, IL  60134_x000a_(630) 457-5460_x000a_Email: steve@staterep65.com"/>
    <s v="steve@staterep65.com"/>
    <s v=""/>
    <s v=""/>
    <s v=""/>
    <s v=""/>
    <s v=""/>
    <s v="217.782.5457"/>
    <s v=""/>
    <s v=""/>
    <s v=""/>
    <s v=""/>
    <s v=""/>
    <s v=""/>
    <s v=""/>
    <s v=""/>
    <s v=""/>
    <s v=""/>
    <s v="371616Newsletter Recipient, 371627House of Representatives"/>
    <m/>
    <x v="0"/>
  </r>
  <r>
    <n v="37774201"/>
    <b v="0"/>
    <b v="0"/>
    <b v="0"/>
    <b v="1"/>
    <b v="0"/>
    <b v="1"/>
    <b v="1"/>
    <b v="0"/>
    <b v="0"/>
    <n v="0"/>
    <n v="0"/>
    <m/>
    <d v="2018-03-02T00:00:00"/>
    <n v="32127162"/>
    <d v="2017-02-20T00:00:00"/>
    <m/>
    <m/>
    <s v=""/>
    <b v="0"/>
    <m/>
    <m/>
    <d v="2017-02-20T00:00:00"/>
    <m/>
    <n v="791522"/>
    <b v="1"/>
    <m/>
    <m/>
    <m/>
    <x v="0"/>
    <b v="1"/>
    <n v="37774201"/>
    <s v="Jaime"/>
    <s v="Andrade, Jr."/>
    <s v="Illinois General Assembly"/>
    <s v=""/>
    <s v="Representative Jaime M. Andrade, Jr. (D)_x000a_40th District_x0009_ _x0009__x000a__x000a_Springfield Office:_x000a_260-W Stratton Office Building_x000a_Springfield, IL   62706_x000a_(217) 782-8117_x000a_(217) 558-4551 FAX_x000a__x000a_District Office:_x000a_3657 N. Kedzie_x000a_Chicago, IL  60618_x000a_(773) 267-2880_x000a_(773) 267-2840 FAX"/>
    <s v="staterep40@gmail.com"/>
    <s v=""/>
    <s v=""/>
    <s v=""/>
    <s v=""/>
    <s v=""/>
    <s v="217.782.8117"/>
    <s v=""/>
    <s v=""/>
    <s v=""/>
    <s v=""/>
    <s v=""/>
    <s v=""/>
    <s v=""/>
    <s v=""/>
    <s v=""/>
    <s v=""/>
    <s v="371616Newsletter Recipient, 371627House of Representatives"/>
    <m/>
    <x v="0"/>
  </r>
  <r>
    <n v="42956839"/>
    <b v="0"/>
    <b v="0"/>
    <b v="1"/>
    <b v="1"/>
    <b v="0"/>
    <b v="1"/>
    <b v="1"/>
    <b v="0"/>
    <b v="0"/>
    <n v="0"/>
    <n v="0"/>
    <m/>
    <d v="2018-01-12T00:00:00"/>
    <n v="32127162"/>
    <d v="2017-12-15T00:00:00"/>
    <m/>
    <m/>
    <s v=""/>
    <b v="0"/>
    <m/>
    <m/>
    <d v="2017-12-14T00:00:00"/>
    <m/>
    <n v="791522"/>
    <b v="1"/>
    <m/>
    <d v="2017-12-15T00:00:00"/>
    <m/>
    <x v="0"/>
    <b v="1"/>
    <n v="42956839"/>
    <s v="Gayle"/>
    <s v="Andrae"/>
    <s v="Will County Community Health Center"/>
    <s v=""/>
    <s v=""/>
    <s v="gandrae@willcountyhealth.org"/>
    <s v=""/>
    <s v=""/>
    <s v=""/>
    <s v=""/>
    <s v=""/>
    <s v=""/>
    <s v=""/>
    <s v="Will County Community Health Center"/>
    <s v=""/>
    <s v=""/>
    <s v=""/>
    <s v=""/>
    <s v=""/>
    <s v=""/>
    <s v=""/>
    <s v=""/>
    <s v="371616Newsletter Recipient"/>
    <m/>
    <x v="0"/>
  </r>
  <r>
    <n v="46436550"/>
    <b v="0"/>
    <b v="0"/>
    <b v="0"/>
    <b v="1"/>
    <b v="0"/>
    <b v="1"/>
    <b v="1"/>
    <b v="0"/>
    <b v="0"/>
    <n v="0"/>
    <n v="0"/>
    <m/>
    <d v="2018-06-21T00:00:00"/>
    <n v="32127162"/>
    <d v="2018-06-21T00:00:00"/>
    <m/>
    <m/>
    <s v=""/>
    <b v="0"/>
    <m/>
    <m/>
    <d v="2018-06-21T00:00:00"/>
    <m/>
    <n v="791522"/>
    <b v="1"/>
    <m/>
    <d v="2018-06-21T00:00:00"/>
    <m/>
    <x v="0"/>
    <b v="1"/>
    <n v="46436550"/>
    <s v="David"/>
    <s v="Applegate"/>
    <s v="U.S. Senate"/>
    <s v=""/>
    <s v=""/>
    <s v="david_applegate@duckworth.senate.gov"/>
    <s v=""/>
    <s v=""/>
    <s v=""/>
    <s v=""/>
    <s v=""/>
    <s v=""/>
    <s v=""/>
    <s v="U.S. Senate"/>
    <s v=""/>
    <s v=""/>
    <s v=""/>
    <s v=""/>
    <s v=""/>
    <s v=""/>
    <s v=""/>
    <s v=""/>
    <s v="371616Newsletter Recipient"/>
    <m/>
    <x v="0"/>
  </r>
  <r>
    <n v="37770368"/>
    <b v="0"/>
    <b v="0"/>
    <b v="0"/>
    <b v="1"/>
    <b v="0"/>
    <b v="1"/>
    <b v="1"/>
    <b v="0"/>
    <b v="0"/>
    <n v="0"/>
    <n v="0"/>
    <m/>
    <d v="2018-03-02T00:00:00"/>
    <n v="32127162"/>
    <d v="2017-02-20T00:00:00"/>
    <m/>
    <m/>
    <s v=""/>
    <b v="0"/>
    <m/>
    <m/>
    <d v="2017-02-20T00:00:00"/>
    <m/>
    <n v="791522"/>
    <b v="1"/>
    <m/>
    <m/>
    <m/>
    <x v="0"/>
    <b v="1"/>
    <n v="37770368"/>
    <s v="Omar"/>
    <s v="Aquino"/>
    <s v="Illinois General Assembly"/>
    <s v="Senator"/>
    <s v="Senator Omar Aquino (D)_x000a_2nd District_x000a__x000a_Springfield Office:_x000a_Senator 2nd District_x000a_M120 Capitol Building_x000a_Springfield, IL   62706_x000a_(217) 782-5652_x000a_ _x000a_District Office:_x000a_4353 W. Armitage Ave._x000a_Chicago, IL  60639_x000a_(773) 292-0202_x000a_(773) 292-1903 FAX"/>
    <s v="aquino@senatedem.illinois.gov"/>
    <s v=""/>
    <s v=""/>
    <s v=""/>
    <s v=""/>
    <s v=""/>
    <s v="217.782.5652"/>
    <s v=""/>
    <s v=""/>
    <s v=""/>
    <s v=""/>
    <s v=""/>
    <s v=""/>
    <s v=""/>
    <s v=""/>
    <s v=""/>
    <s v=""/>
    <s v="371609Senator, 371616Newsletter Recipient"/>
    <m/>
    <x v="0"/>
  </r>
  <r>
    <n v="39194846"/>
    <b v="0"/>
    <b v="0"/>
    <b v="1"/>
    <b v="1"/>
    <b v="0"/>
    <b v="1"/>
    <b v="1"/>
    <b v="0"/>
    <b v="0"/>
    <n v="0"/>
    <n v="0"/>
    <m/>
    <d v="2018-03-02T00:00:00"/>
    <n v="32127162"/>
    <d v="2017-06-02T00:00:00"/>
    <d v="2017-08-24T00:00:00"/>
    <m/>
    <s v=""/>
    <b v="1"/>
    <m/>
    <m/>
    <d v="2017-06-02T00:00:00"/>
    <m/>
    <n v="791522"/>
    <b v="1"/>
    <m/>
    <m/>
    <m/>
    <x v="0"/>
    <b v="1"/>
    <n v="39194846"/>
    <s v="Ray"/>
    <s v="Arias"/>
    <s v="Arias Information Solutions, Llc"/>
    <s v=""/>
    <s v=""/>
    <s v="rarias@ariasis.com"/>
    <s v="847.340.8307"/>
    <s v=""/>
    <s v=""/>
    <s v=""/>
    <s v=""/>
    <s v=""/>
    <s v=""/>
    <s v=""/>
    <s v=""/>
    <s v=""/>
    <s v=""/>
    <s v="BEP"/>
    <s v="3233 N. Arlington Heights Rd. Suite 201"/>
    <s v="Arlington Heights"/>
    <s v="IL"/>
    <s v="60004"/>
    <s v="371616Newsletter Recipient"/>
    <m/>
    <x v="0"/>
  </r>
  <r>
    <n v="34095945"/>
    <b v="0"/>
    <b v="0"/>
    <b v="0"/>
    <b v="1"/>
    <b v="0"/>
    <b v="1"/>
    <b v="1"/>
    <b v="0"/>
    <b v="0"/>
    <n v="0"/>
    <n v="0"/>
    <m/>
    <d v="2018-03-02T00:00:00"/>
    <n v="32127162"/>
    <d v="2016-08-30T00:00:00"/>
    <m/>
    <m/>
    <s v=""/>
    <b v="0"/>
    <m/>
    <m/>
    <d v="2016-08-29T00:00:00"/>
    <m/>
    <n v="791522"/>
    <b v="1"/>
    <m/>
    <m/>
    <m/>
    <x v="0"/>
    <b v="1"/>
    <n v="34095945"/>
    <s v="Keisa"/>
    <s v="Arrington"/>
    <s v="Humana"/>
    <s v=""/>
    <s v="Primary LTC Contact"/>
    <s v="KArrington@humana.com"/>
    <s v="901.232.7247"/>
    <s v=""/>
    <s v=""/>
    <s v=""/>
    <s v=""/>
    <s v=""/>
    <s v=""/>
    <s v=""/>
    <s v=""/>
    <s v=""/>
    <s v=""/>
    <s v=""/>
    <s v=""/>
    <s v=""/>
    <s v=""/>
    <s v=""/>
    <s v="371616Newsletter Recipient"/>
    <m/>
    <x v="0"/>
  </r>
  <r>
    <n v="37774208"/>
    <b v="0"/>
    <b v="0"/>
    <b v="0"/>
    <b v="1"/>
    <b v="0"/>
    <b v="1"/>
    <b v="1"/>
    <b v="0"/>
    <b v="0"/>
    <n v="0"/>
    <n v="0"/>
    <m/>
    <d v="2018-03-02T00:00:00"/>
    <n v="32127162"/>
    <d v="2017-02-20T00:00:00"/>
    <m/>
    <m/>
    <s v=""/>
    <b v="0"/>
    <m/>
    <m/>
    <d v="2017-02-20T00:00:00"/>
    <m/>
    <n v="791522"/>
    <b v="1"/>
    <m/>
    <m/>
    <m/>
    <x v="0"/>
    <b v="1"/>
    <n v="37774208"/>
    <s v="Luis"/>
    <s v="Arroyo"/>
    <s v="Illinois General Assembly"/>
    <s v=""/>
    <s v="Representative Luis Arroyo (D)_x000a_3rd District_x000a_Assistant Majority Leader_x0009_ _x0009__x000a__x000a_Springfield Office:_x000a_109 Capitol Building_x000a_Springfield, IL   62706_x000a_(217) 782-0480_x000a_(217) 557-9609 FAX_x000a__x000a_District Office:_x000a_5001 W. Fullerton Ave._x000a_Chicago, IL  60639_x000a_(773) 637-2000_x000a_(773) 637-2002 FAX"/>
    <s v="RepDistrict3@gmail.com"/>
    <s v=""/>
    <s v=""/>
    <s v=""/>
    <s v=""/>
    <s v=""/>
    <s v="217.782.0480"/>
    <s v=""/>
    <s v=""/>
    <s v=""/>
    <s v=""/>
    <s v=""/>
    <s v=""/>
    <s v=""/>
    <s v=""/>
    <s v=""/>
    <s v=""/>
    <s v="371616Newsletter Recipient, 371627House of Representatives"/>
    <m/>
    <x v="0"/>
  </r>
  <r>
    <n v="42933967"/>
    <b v="0"/>
    <b v="0"/>
    <b v="0"/>
    <b v="1"/>
    <b v="0"/>
    <b v="1"/>
    <b v="1"/>
    <b v="0"/>
    <b v="0"/>
    <n v="0"/>
    <n v="0"/>
    <m/>
    <d v="2018-02-12T00:00:00"/>
    <n v="32127162"/>
    <d v="2017-12-13T00:00:00"/>
    <m/>
    <m/>
    <s v=""/>
    <b v="0"/>
    <m/>
    <m/>
    <d v="2017-12-13T00:00:00"/>
    <m/>
    <n v="791522"/>
    <b v="1"/>
    <m/>
    <d v="2017-12-13T00:00:00"/>
    <m/>
    <x v="0"/>
    <b v="1"/>
    <n v="42933967"/>
    <s v="Wendy"/>
    <s v="Artman"/>
    <s v="Bayside Terrace LLC"/>
    <s v=""/>
    <s v=""/>
    <s v="wartman@btwaukegan.com"/>
    <s v=""/>
    <s v=""/>
    <s v=""/>
    <s v=""/>
    <s v=""/>
    <s v=""/>
    <s v=""/>
    <s v="Bayside Terrace LLC"/>
    <s v=""/>
    <s v=""/>
    <s v=""/>
    <s v=""/>
    <s v=""/>
    <s v=""/>
    <s v=""/>
    <s v=""/>
    <s v="371616Newsletter Recipient"/>
    <m/>
    <x v="0"/>
  </r>
  <r>
    <n v="42867823"/>
    <b v="0"/>
    <b v="0"/>
    <b v="0"/>
    <b v="1"/>
    <b v="0"/>
    <b v="1"/>
    <b v="1"/>
    <b v="0"/>
    <b v="0"/>
    <n v="0"/>
    <n v="0"/>
    <m/>
    <d v="2018-02-12T00:00:00"/>
    <n v="32127162"/>
    <d v="2017-12-08T00:00:00"/>
    <m/>
    <m/>
    <s v=""/>
    <b v="0"/>
    <m/>
    <m/>
    <d v="2017-12-08T00:00:00"/>
    <m/>
    <n v="791522"/>
    <b v="1"/>
    <m/>
    <d v="2017-12-08T00:00:00"/>
    <m/>
    <x v="0"/>
    <b v="1"/>
    <n v="42867823"/>
    <s v="Odalinda"/>
    <s v="Avila-Trvino"/>
    <s v="WestCare Illinois"/>
    <s v=""/>
    <s v=""/>
    <s v="Odalinda.avila@westcare.com"/>
    <s v=""/>
    <s v=""/>
    <s v=""/>
    <s v=""/>
    <s v=""/>
    <s v=""/>
    <s v=""/>
    <s v="WestCare Illinois"/>
    <s v=""/>
    <s v=""/>
    <s v=""/>
    <s v=""/>
    <s v=""/>
    <s v=""/>
    <s v=""/>
    <s v=""/>
    <s v="371616Newsletter Recipient"/>
    <m/>
    <x v="0"/>
  </r>
  <r>
    <n v="41302616"/>
    <b v="0"/>
    <b v="0"/>
    <b v="0"/>
    <b v="1"/>
    <b v="0"/>
    <b v="1"/>
    <b v="1"/>
    <b v="0"/>
    <b v="0"/>
    <n v="0"/>
    <n v="0"/>
    <m/>
    <d v="2018-04-16T00:00:00"/>
    <n v="32127162"/>
    <d v="2017-08-30T00:00:00"/>
    <m/>
    <m/>
    <s v=""/>
    <b v="0"/>
    <m/>
    <m/>
    <d v="2017-08-30T00:00:00"/>
    <m/>
    <n v="791522"/>
    <b v="1"/>
    <m/>
    <m/>
    <m/>
    <x v="0"/>
    <b v="1"/>
    <n v="41302616"/>
    <s v="Karen"/>
    <s v="Babos"/>
    <s v="Molina Healthcare of Illinois, Inc."/>
    <s v="Dr."/>
    <s v=""/>
    <s v="karen.babos@molinahealthcare.com"/>
    <s v=""/>
    <s v=""/>
    <s v=""/>
    <s v=""/>
    <s v=""/>
    <s v=""/>
    <s v=""/>
    <s v=""/>
    <s v=""/>
    <s v=""/>
    <s v=""/>
    <s v=""/>
    <s v="1520 Kensington Road, Suite 212"/>
    <s v="Oak Brook"/>
    <s v="IL"/>
    <s v="60523"/>
    <s v="335744Chief Medical Officer, 371616Newsletter Recipient, 372292Medical Directors, 372293Quality Committee"/>
    <m/>
    <x v="0"/>
  </r>
  <r>
    <n v="36686337"/>
    <b v="0"/>
    <b v="0"/>
    <b v="0"/>
    <b v="1"/>
    <b v="0"/>
    <b v="1"/>
    <b v="1"/>
    <b v="0"/>
    <b v="0"/>
    <n v="0"/>
    <n v="0"/>
    <m/>
    <d v="2018-05-04T00:00:00"/>
    <n v="32127162"/>
    <d v="2016-12-27T00:00:00"/>
    <m/>
    <m/>
    <s v=""/>
    <b v="0"/>
    <m/>
    <m/>
    <d v="2016-12-27T00:00:00"/>
    <m/>
    <n v="791522"/>
    <b v="1"/>
    <m/>
    <m/>
    <m/>
    <x v="0"/>
    <b v="1"/>
    <n v="36686337"/>
    <s v="Tabitha"/>
    <s v="Baines"/>
    <s v="Harmony Health Plan of Illinois - A WellCare Company"/>
    <s v=""/>
    <s v=""/>
    <s v="Tabitha.Baines@wellcare.com"/>
    <s v="312.658.3132"/>
    <s v=""/>
    <s v=""/>
    <s v=""/>
    <s v=""/>
    <s v=""/>
    <s v=""/>
    <s v=""/>
    <s v="Redetermination Point Person"/>
    <s v=""/>
    <s v=""/>
    <s v=""/>
    <s v=""/>
    <s v=""/>
    <s v=""/>
    <s v=""/>
    <s v="364404Redetermination Point Person, 371616Newsletter Recipient"/>
    <m/>
    <x v="0"/>
  </r>
  <r>
    <n v="34033391"/>
    <b v="0"/>
    <b v="0"/>
    <b v="0"/>
    <b v="1"/>
    <b v="0"/>
    <b v="1"/>
    <b v="1"/>
    <b v="0"/>
    <b v="0"/>
    <n v="0"/>
    <n v="0"/>
    <m/>
    <d v="2018-03-02T00:00:00"/>
    <n v="32127162"/>
    <d v="2016-08-23T00:00:00"/>
    <m/>
    <m/>
    <s v=""/>
    <b v="0"/>
    <m/>
    <m/>
    <d v="2016-08-23T00:00:00"/>
    <m/>
    <n v="791522"/>
    <b v="1"/>
    <m/>
    <m/>
    <m/>
    <x v="0"/>
    <b v="1"/>
    <n v="34033391"/>
    <s v="Marie"/>
    <s v="Baker"/>
    <s v="Harmony Health Plan of Illinois - A WellCare Company"/>
    <s v=""/>
    <s v=""/>
    <s v="Marie.Baker@wellcare.com"/>
    <s v="312.516.5855"/>
    <s v=""/>
    <s v=""/>
    <s v=""/>
    <s v=""/>
    <s v=""/>
    <s v=""/>
    <s v=""/>
    <s v=""/>
    <s v=""/>
    <s v=""/>
    <s v=""/>
    <s v=""/>
    <s v=""/>
    <s v=""/>
    <s v=""/>
    <s v="335745Quality Directors, 371616Newsletter Recipient, 372292Medical Directors, 372293Quality Committee"/>
    <m/>
    <x v="0"/>
  </r>
  <r>
    <n v="39231685"/>
    <b v="0"/>
    <b v="0"/>
    <b v="0"/>
    <b v="1"/>
    <b v="0"/>
    <b v="1"/>
    <b v="1"/>
    <b v="0"/>
    <b v="0"/>
    <n v="0"/>
    <n v="0"/>
    <m/>
    <d v="2018-05-29T00:00:00"/>
    <n v="32127162"/>
    <d v="2017-06-06T00:00:00"/>
    <m/>
    <m/>
    <s v=""/>
    <b v="0"/>
    <m/>
    <m/>
    <d v="2017-06-06T00:00:00"/>
    <m/>
    <n v="791522"/>
    <b v="1"/>
    <m/>
    <m/>
    <m/>
    <x v="0"/>
    <b v="1"/>
    <n v="39231685"/>
    <s v="Jeff"/>
    <s v="Baldassarra"/>
    <s v="Blue Cross Blue Shield"/>
    <s v=""/>
    <s v=""/>
    <s v="Jeffrey_F_Baldassarra@bcbsil.com"/>
    <s v=""/>
    <s v=""/>
    <s v=""/>
    <s v=""/>
    <s v=""/>
    <s v=""/>
    <s v=""/>
    <s v=""/>
    <s v=""/>
    <s v=""/>
    <s v=""/>
    <s v=""/>
    <s v=""/>
    <s v=""/>
    <s v=""/>
    <s v=""/>
    <s v="335736Provider Relations - Committee Members, 372297Operations Committee, 447857HFS Ops Workgroup"/>
    <m/>
    <x v="0"/>
  </r>
  <r>
    <n v="37822587"/>
    <b v="0"/>
    <b v="0"/>
    <b v="0"/>
    <b v="1"/>
    <b v="0"/>
    <b v="1"/>
    <b v="1"/>
    <b v="0"/>
    <b v="0"/>
    <n v="0"/>
    <n v="0"/>
    <m/>
    <d v="2017-02-24T00:00:00"/>
    <n v="32127162"/>
    <d v="2017-02-24T00:00:00"/>
    <m/>
    <m/>
    <s v=""/>
    <b v="0"/>
    <m/>
    <m/>
    <d v="2017-02-24T00:00:00"/>
    <m/>
    <n v="791522"/>
    <b v="1"/>
    <m/>
    <m/>
    <m/>
    <x v="0"/>
    <b v="1"/>
    <n v="37822587"/>
    <s v="Brian"/>
    <s v="Balogh"/>
    <s v="MTM"/>
    <s v=""/>
    <s v=""/>
    <s v="BBalogh@mtm-inc.net"/>
    <s v=""/>
    <s v=""/>
    <s v=""/>
    <s v=""/>
    <s v=""/>
    <s v=""/>
    <s v=""/>
    <s v=""/>
    <s v=""/>
    <s v=""/>
    <s v=""/>
    <s v=""/>
    <s v=""/>
    <s v=""/>
    <s v=""/>
    <s v=""/>
    <s v="371616Newsletter Recipient"/>
    <m/>
    <x v="0"/>
  </r>
  <r>
    <n v="44100087"/>
    <b v="0"/>
    <b v="0"/>
    <b v="0"/>
    <b v="1"/>
    <b v="0"/>
    <b v="1"/>
    <b v="1"/>
    <b v="0"/>
    <b v="0"/>
    <n v="0"/>
    <n v="0"/>
    <m/>
    <d v="2018-05-09T00:00:00"/>
    <n v="32127162"/>
    <d v="2018-03-07T00:00:00"/>
    <m/>
    <m/>
    <s v=""/>
    <b v="0"/>
    <m/>
    <m/>
    <d v="2018-03-07T00:00:00"/>
    <m/>
    <n v="791522"/>
    <b v="1"/>
    <m/>
    <d v="2018-03-07T00:00:00"/>
    <m/>
    <x v="0"/>
    <b v="1"/>
    <n v="44100087"/>
    <s v="Kaitlin"/>
    <s v="Banduch"/>
    <s v="IlliniCare Health"/>
    <s v=""/>
    <s v=""/>
    <s v="kbanduch@illinicare.com"/>
    <s v=""/>
    <s v=""/>
    <s v=""/>
    <s v=""/>
    <s v=""/>
    <s v=""/>
    <s v=""/>
    <s v=""/>
    <s v=""/>
    <s v=""/>
    <s v=""/>
    <s v=""/>
    <s v=""/>
    <s v=""/>
    <s v=""/>
    <s v=""/>
    <s v="371616Newsletter Recipient, 372295Board of Directors/General Distribution List, 372296Legislative Committee, 372306Marketing Committee, 428788Pharmacy Director Committee"/>
    <m/>
    <x v="0"/>
  </r>
  <r>
    <n v="42846951"/>
    <b v="0"/>
    <b v="0"/>
    <b v="0"/>
    <b v="1"/>
    <b v="0"/>
    <b v="1"/>
    <b v="1"/>
    <b v="0"/>
    <b v="0"/>
    <n v="0"/>
    <n v="0"/>
    <m/>
    <d v="2018-05-29T00:00:00"/>
    <n v="32127162"/>
    <d v="2017-12-06T00:00:00"/>
    <m/>
    <m/>
    <s v=""/>
    <b v="0"/>
    <m/>
    <m/>
    <d v="2017-12-06T00:00:00"/>
    <m/>
    <n v="791522"/>
    <b v="1"/>
    <m/>
    <d v="2017-12-06T00:00:00"/>
    <m/>
    <x v="0"/>
    <b v="1"/>
    <n v="42846951"/>
    <s v="Beatrice"/>
    <s v="Banker"/>
    <s v="Harmony Health Plan of Illinois - A WellCare Company"/>
    <s v=""/>
    <s v=""/>
    <s v="beatrice.banker@wellcare.com"/>
    <s v=""/>
    <s v=""/>
    <s v=""/>
    <s v=""/>
    <s v=""/>
    <s v=""/>
    <s v=""/>
    <s v=""/>
    <s v=""/>
    <s v=""/>
    <s v=""/>
    <s v=""/>
    <s v=""/>
    <s v=""/>
    <s v=""/>
    <s v=""/>
    <s v="372297Operations Committee, 447857HFS Ops Workgroup"/>
    <m/>
    <x v="0"/>
  </r>
  <r>
    <n v="43932302"/>
    <b v="0"/>
    <b v="0"/>
    <b v="0"/>
    <b v="1"/>
    <b v="0"/>
    <b v="1"/>
    <b v="1"/>
    <b v="0"/>
    <b v="0"/>
    <n v="0"/>
    <n v="0"/>
    <m/>
    <d v="2018-02-26T00:00:00"/>
    <n v="32127162"/>
    <d v="2018-02-26T00:00:00"/>
    <m/>
    <m/>
    <s v=""/>
    <b v="0"/>
    <m/>
    <m/>
    <d v="2018-02-26T00:00:00"/>
    <m/>
    <n v="791522"/>
    <b v="1"/>
    <m/>
    <d v="2018-02-26T00:00:00"/>
    <m/>
    <x v="0"/>
    <b v="1"/>
    <n v="43932302"/>
    <s v="Marco"/>
    <s v="Barajas"/>
    <s v="Blue Cross Blue Shield of Illinois"/>
    <s v=""/>
    <s v=""/>
    <s v="marco_a_barajas@bcbsil.com"/>
    <s v=""/>
    <s v=""/>
    <s v=""/>
    <s v=""/>
    <s v=""/>
    <s v=""/>
    <s v=""/>
    <s v=""/>
    <s v=""/>
    <s v=""/>
    <s v=""/>
    <s v=""/>
    <s v=""/>
    <s v=""/>
    <s v=""/>
    <s v=""/>
    <s v="371616Newsletter Recipient, 428788Pharmacy Director Committee"/>
    <m/>
    <x v="0"/>
  </r>
  <r>
    <n v="37770372"/>
    <b v="0"/>
    <b v="0"/>
    <b v="0"/>
    <b v="1"/>
    <b v="0"/>
    <b v="1"/>
    <b v="1"/>
    <b v="0"/>
    <b v="0"/>
    <n v="0"/>
    <n v="0"/>
    <m/>
    <d v="2018-03-02T00:00:00"/>
    <n v="32127162"/>
    <d v="2017-02-20T00:00:00"/>
    <m/>
    <m/>
    <s v=""/>
    <b v="0"/>
    <m/>
    <m/>
    <d v="2017-02-20T00:00:00"/>
    <m/>
    <n v="791522"/>
    <b v="1"/>
    <m/>
    <m/>
    <m/>
    <x v="0"/>
    <b v="1"/>
    <n v="37770372"/>
    <s v="Jason"/>
    <s v="Barickman"/>
    <s v="Illinois General Assembly"/>
    <s v="Senator"/>
    <s v="Senator Jason A. Barickman (R)_x000a_53rd District_x000a_Assistant Republican Leader_x000a__x000a_Springfield Office:_x000a_Senator 53rd District_x000a_309L Capitol Building_x000a_Springfield, IL   62706_x000a_(217) 782-6597_x000a_ _x000a_District Office:_x000a_3004 G.E. Road_x000a_Suite 1B_x000a_Bloomington, IL  61704_x000a_(309) 661-2788"/>
    <s v=""/>
    <s v=""/>
    <s v=""/>
    <s v=""/>
    <s v=""/>
    <s v=""/>
    <s v="217.782.6597"/>
    <s v=""/>
    <s v=""/>
    <s v=""/>
    <s v=""/>
    <s v=""/>
    <s v=""/>
    <s v=""/>
    <s v=""/>
    <s v=""/>
    <s v=""/>
    <s v="371609Senator, 371616Newsletter Recipient"/>
    <m/>
    <x v="0"/>
  </r>
  <r>
    <n v="36548823"/>
    <b v="0"/>
    <b v="0"/>
    <b v="0"/>
    <b v="1"/>
    <b v="0"/>
    <b v="1"/>
    <b v="1"/>
    <b v="0"/>
    <b v="0"/>
    <n v="0"/>
    <n v="0"/>
    <m/>
    <d v="2018-06-22T00:00:00"/>
    <n v="32127162"/>
    <d v="2016-12-14T00:00:00"/>
    <m/>
    <m/>
    <s v=""/>
    <b v="0"/>
    <m/>
    <m/>
    <d v="2016-12-14T00:00:00"/>
    <m/>
    <n v="791522"/>
    <b v="1"/>
    <m/>
    <m/>
    <m/>
    <x v="0"/>
    <b v="1"/>
    <n v="36548823"/>
    <s v="Tina"/>
    <s v="Barksdale"/>
    <s v="NextLevel Health"/>
    <s v=""/>
    <s v=""/>
    <s v="Tina.Barksdale@nlhpartners.com"/>
    <s v="312.300.5780 x959"/>
    <s v=""/>
    <s v=""/>
    <s v=""/>
    <s v=""/>
    <s v=""/>
    <s v=""/>
    <s v=""/>
    <s v=""/>
    <s v=""/>
    <s v=""/>
    <s v=""/>
    <s v=""/>
    <s v=""/>
    <s v=""/>
    <s v=""/>
    <s v="335736Provider Relations - Committee Members, 371616Newsletter Recipient"/>
    <s v="10633525Contracts"/>
    <x v="0"/>
  </r>
  <r>
    <n v="46434298"/>
    <b v="0"/>
    <b v="0"/>
    <b v="0"/>
    <b v="1"/>
    <b v="0"/>
    <b v="1"/>
    <b v="1"/>
    <b v="0"/>
    <b v="0"/>
    <n v="0"/>
    <n v="0"/>
    <m/>
    <d v="2018-06-21T00:00:00"/>
    <n v="32127162"/>
    <d v="2018-06-21T00:00:00"/>
    <m/>
    <m/>
    <s v=""/>
    <b v="0"/>
    <m/>
    <m/>
    <d v="2018-06-21T00:00:00"/>
    <m/>
    <n v="791522"/>
    <b v="1"/>
    <m/>
    <d v="2018-06-21T00:00:00"/>
    <m/>
    <x v="0"/>
    <b v="1"/>
    <n v="46434298"/>
    <s v="Heidi"/>
    <s v="Barnes"/>
    <s v="Community Health Care, Inc."/>
    <s v=""/>
    <s v=""/>
    <s v="hbarnes@chcqca.org"/>
    <s v=""/>
    <s v=""/>
    <s v=""/>
    <s v=""/>
    <s v=""/>
    <s v=""/>
    <s v=""/>
    <s v="Community Health Care, Inc."/>
    <s v=""/>
    <s v=""/>
    <s v=""/>
    <s v=""/>
    <s v=""/>
    <s v=""/>
    <s v=""/>
    <s v=""/>
    <s v="371616Newsletter Recipient"/>
    <m/>
    <x v="0"/>
  </r>
  <r>
    <n v="44047442"/>
    <b v="0"/>
    <b v="0"/>
    <b v="0"/>
    <b v="1"/>
    <b v="0"/>
    <b v="1"/>
    <b v="1"/>
    <b v="0"/>
    <b v="0"/>
    <n v="0"/>
    <n v="0"/>
    <m/>
    <d v="2018-03-02T00:00:00"/>
    <n v="32127162"/>
    <d v="2018-03-02T00:00:00"/>
    <m/>
    <m/>
    <s v=""/>
    <b v="0"/>
    <m/>
    <m/>
    <d v="2018-03-02T00:00:00"/>
    <m/>
    <n v="791522"/>
    <b v="1"/>
    <m/>
    <d v="2018-03-02T00:00:00"/>
    <m/>
    <x v="0"/>
    <b v="1"/>
    <n v="44047442"/>
    <s v="Tom"/>
    <s v="Barr"/>
    <s v="Center for Human Services"/>
    <s v=""/>
    <s v=""/>
    <s v="tbarr@mcchs.org"/>
    <s v=""/>
    <s v=""/>
    <s v=""/>
    <s v=""/>
    <s v=""/>
    <s v=""/>
    <s v=""/>
    <s v=""/>
    <s v=""/>
    <s v=""/>
    <s v=""/>
    <s v=""/>
    <s v=""/>
    <s v=""/>
    <s v=""/>
    <s v=""/>
    <s v="371616Newsletter Recipient"/>
    <m/>
    <x v="0"/>
  </r>
  <r>
    <n v="44047174"/>
    <b v="0"/>
    <b v="0"/>
    <b v="0"/>
    <b v="1"/>
    <b v="0"/>
    <b v="1"/>
    <b v="1"/>
    <b v="0"/>
    <b v="0"/>
    <n v="0"/>
    <n v="0"/>
    <m/>
    <d v="2018-03-02T00:00:00"/>
    <n v="32127162"/>
    <d v="2018-03-02T00:00:00"/>
    <m/>
    <m/>
    <s v=""/>
    <b v="0"/>
    <m/>
    <m/>
    <d v="2018-03-02T00:00:00"/>
    <m/>
    <n v="791522"/>
    <b v="1"/>
    <m/>
    <d v="2018-03-02T00:00:00"/>
    <m/>
    <x v="0"/>
    <b v="1"/>
    <n v="44047174"/>
    <s v="Jill"/>
    <s v="Barrera"/>
    <s v="SwedishAmerican Home Health Care"/>
    <s v=""/>
    <s v=""/>
    <s v="jbarrera@swedishamerican.org"/>
    <s v=""/>
    <s v=""/>
    <s v=""/>
    <s v=""/>
    <s v=""/>
    <s v=""/>
    <s v=""/>
    <s v=""/>
    <s v="LCSW"/>
    <s v=""/>
    <s v=""/>
    <s v=""/>
    <s v=""/>
    <s v=""/>
    <s v=""/>
    <s v=""/>
    <s v="371616Newsletter Recipient"/>
    <m/>
    <x v="0"/>
  </r>
  <r>
    <n v="43278684"/>
    <b v="0"/>
    <b v="0"/>
    <b v="0"/>
    <b v="1"/>
    <b v="0"/>
    <b v="1"/>
    <b v="1"/>
    <b v="0"/>
    <b v="0"/>
    <n v="0"/>
    <n v="0"/>
    <m/>
    <d v="2018-02-12T00:00:00"/>
    <n v="32127162"/>
    <d v="2018-01-16T00:00:00"/>
    <m/>
    <m/>
    <s v=""/>
    <b v="0"/>
    <m/>
    <m/>
    <d v="2018-01-16T00:00:00"/>
    <m/>
    <n v="791522"/>
    <b v="1"/>
    <m/>
    <d v="2018-01-16T00:00:00"/>
    <m/>
    <x v="0"/>
    <b v="1"/>
    <n v="43278684"/>
    <s v="Brian"/>
    <s v="Barrett"/>
    <s v="CountyCare Health Plan"/>
    <s v=""/>
    <s v=""/>
    <s v="brian.barrett@cookcountyhhs.org"/>
    <s v=""/>
    <s v=""/>
    <s v=""/>
    <s v=""/>
    <s v=""/>
    <s v=""/>
    <s v=""/>
    <s v="CountyCare Health Plan"/>
    <s v="Manager of Provider Contracting"/>
    <s v=""/>
    <s v=""/>
    <s v=""/>
    <s v=""/>
    <s v=""/>
    <s v=""/>
    <s v=""/>
    <s v="335736Provider Relations - Committee Members, 371616Newsletter Recipient"/>
    <m/>
    <x v="0"/>
  </r>
  <r>
    <n v="43099276"/>
    <b v="0"/>
    <b v="0"/>
    <b v="1"/>
    <b v="1"/>
    <b v="0"/>
    <b v="1"/>
    <b v="1"/>
    <b v="0"/>
    <b v="0"/>
    <n v="0"/>
    <n v="0"/>
    <m/>
    <d v="2018-03-02T00:00:00"/>
    <n v="32127162"/>
    <d v="2018-01-02T00:00:00"/>
    <d v="2018-01-02T00:00:00"/>
    <m/>
    <s v=""/>
    <b v="0"/>
    <m/>
    <m/>
    <d v="2018-03-02T00:00:00"/>
    <m/>
    <n v="791522"/>
    <b v="1"/>
    <m/>
    <d v="2018-03-02T00:00:00"/>
    <m/>
    <x v="0"/>
    <b v="1"/>
    <n v="43099276"/>
    <s v="Natalie"/>
    <s v="Basgall"/>
    <s v="DuPage County Health Department"/>
    <s v="Revenue Contract Manager"/>
    <s v="Payer contracting"/>
    <s v="natalie.basgall@dupagehealth.org"/>
    <s v="630.221.7145"/>
    <s v=""/>
    <s v=""/>
    <s v=""/>
    <s v=""/>
    <s v=""/>
    <s v=""/>
    <s v=""/>
    <s v=""/>
    <s v=""/>
    <s v=""/>
    <s v=""/>
    <s v=""/>
    <s v=""/>
    <s v=""/>
    <s v=""/>
    <s v="371616Newsletter Recipient"/>
    <m/>
    <x v="0"/>
  </r>
  <r>
    <n v="44257376"/>
    <b v="0"/>
    <b v="0"/>
    <b v="0"/>
    <b v="1"/>
    <b v="0"/>
    <b v="1"/>
    <b v="1"/>
    <b v="0"/>
    <b v="0"/>
    <n v="0"/>
    <n v="0"/>
    <m/>
    <d v="2018-03-16T00:00:00"/>
    <n v="32127162"/>
    <d v="2018-03-16T00:00:00"/>
    <m/>
    <m/>
    <s v=""/>
    <b v="0"/>
    <m/>
    <m/>
    <d v="2018-03-16T00:00:00"/>
    <m/>
    <n v="791522"/>
    <b v="1"/>
    <m/>
    <d v="2018-03-16T00:00:00"/>
    <m/>
    <x v="0"/>
    <b v="1"/>
    <n v="44257376"/>
    <s v="Amanda"/>
    <s v="Bast"/>
    <s v="IlliniCare Health"/>
    <s v=""/>
    <s v=""/>
    <s v="amanda.t.bast@illinicare.com"/>
    <s v=""/>
    <s v=""/>
    <s v=""/>
    <s v=""/>
    <s v=""/>
    <s v=""/>
    <s v=""/>
    <s v=""/>
    <s v=""/>
    <s v=""/>
    <s v=""/>
    <s v=""/>
    <s v=""/>
    <s v=""/>
    <s v=""/>
    <s v=""/>
    <s v="371616Newsletter Recipient, 372306Marketing Committee"/>
    <m/>
    <x v="0"/>
  </r>
  <r>
    <n v="37774242"/>
    <b v="0"/>
    <b v="0"/>
    <b v="0"/>
    <b v="1"/>
    <b v="0"/>
    <b v="1"/>
    <b v="1"/>
    <b v="0"/>
    <b v="0"/>
    <n v="0"/>
    <n v="0"/>
    <m/>
    <d v="2018-03-02T00:00:00"/>
    <n v="32127162"/>
    <d v="2017-02-20T00:00:00"/>
    <m/>
    <m/>
    <s v=""/>
    <b v="0"/>
    <m/>
    <m/>
    <d v="2017-02-20T00:00:00"/>
    <m/>
    <n v="791522"/>
    <b v="1"/>
    <m/>
    <m/>
    <m/>
    <x v="0"/>
    <b v="1"/>
    <n v="37774242"/>
    <s v="Mark"/>
    <s v="Batinick"/>
    <s v="Illinois General Assembly"/>
    <s v=""/>
    <s v="Representative Mark Batinick (R)_x000a_97th District_x000a__x000a_Springfield Office:_x000a_200-8N Stratton Office Building_x000a_Springfield, IL   62706_x000a_(217) 782-1331_x000a__x000a_District Office:_x000a_24047 W. Lockport St._x000a_Plainfield , IL  60544_x000a_(815) 254-0000"/>
    <s v="batinick@ilhousegop.org"/>
    <s v=""/>
    <s v=""/>
    <s v=""/>
    <s v=""/>
    <s v=""/>
    <s v="217.782.1331"/>
    <s v=""/>
    <s v=""/>
    <s v=""/>
    <s v=""/>
    <s v=""/>
    <s v=""/>
    <s v=""/>
    <s v=""/>
    <s v=""/>
    <s v=""/>
    <s v="371616Newsletter Recipient, 371627House of Representatives"/>
    <m/>
    <x v="0"/>
  </r>
  <r>
    <n v="44047482"/>
    <b v="0"/>
    <b v="0"/>
    <b v="0"/>
    <b v="1"/>
    <b v="0"/>
    <b v="1"/>
    <b v="1"/>
    <b v="0"/>
    <b v="0"/>
    <n v="0"/>
    <n v="0"/>
    <m/>
    <d v="2018-03-02T00:00:00"/>
    <n v="32127162"/>
    <d v="2018-03-02T00:00:00"/>
    <m/>
    <m/>
    <s v=""/>
    <b v="0"/>
    <m/>
    <m/>
    <d v="2018-03-02T00:00:00"/>
    <m/>
    <n v="791522"/>
    <b v="1"/>
    <m/>
    <d v="2018-03-02T00:00:00"/>
    <m/>
    <x v="0"/>
    <b v="1"/>
    <n v="44047482"/>
    <s v="Ashley"/>
    <s v="Batz"/>
    <s v="Maxim Healthcare Services"/>
    <s v=""/>
    <s v=""/>
    <s v="asnichol@maxhealth.com"/>
    <s v=""/>
    <s v=""/>
    <s v=""/>
    <s v=""/>
    <s v=""/>
    <s v=""/>
    <s v=""/>
    <s v=""/>
    <s v=""/>
    <s v=""/>
    <s v=""/>
    <s v=""/>
    <s v=""/>
    <s v=""/>
    <s v=""/>
    <s v=""/>
    <s v="371616Newsletter Recipient"/>
    <m/>
    <x v="0"/>
  </r>
  <r>
    <n v="44047388"/>
    <b v="0"/>
    <b v="0"/>
    <b v="0"/>
    <b v="1"/>
    <b v="0"/>
    <b v="1"/>
    <b v="1"/>
    <b v="0"/>
    <b v="0"/>
    <n v="0"/>
    <n v="0"/>
    <m/>
    <d v="2018-03-02T00:00:00"/>
    <n v="32127162"/>
    <d v="2018-03-02T00:00:00"/>
    <m/>
    <m/>
    <s v=""/>
    <b v="0"/>
    <m/>
    <m/>
    <d v="2018-03-02T00:00:00"/>
    <m/>
    <n v="791522"/>
    <b v="1"/>
    <m/>
    <d v="2018-03-02T00:00:00"/>
    <m/>
    <x v="0"/>
    <b v="1"/>
    <n v="44047388"/>
    <s v="Amy"/>
    <s v="Bauer"/>
    <s v="Human Service Center"/>
    <s v=""/>
    <s v=""/>
    <s v="a.bauer@humanservicegroup.com"/>
    <s v=""/>
    <s v=""/>
    <s v=""/>
    <s v=""/>
    <s v=""/>
    <s v=""/>
    <s v=""/>
    <s v=""/>
    <s v=""/>
    <s v=""/>
    <s v=""/>
    <s v=""/>
    <s v=""/>
    <s v=""/>
    <s v=""/>
    <s v=""/>
    <s v="371616Newsletter Recipient"/>
    <m/>
    <x v="0"/>
  </r>
  <r>
    <n v="34088655"/>
    <b v="0"/>
    <b v="0"/>
    <b v="0"/>
    <b v="1"/>
    <b v="0"/>
    <b v="1"/>
    <b v="1"/>
    <b v="0"/>
    <b v="0"/>
    <n v="0"/>
    <n v="0"/>
    <m/>
    <d v="2018-02-12T00:00:00"/>
    <n v="32127162"/>
    <d v="2016-08-29T00:00:00"/>
    <m/>
    <m/>
    <s v=""/>
    <b v="0"/>
    <m/>
    <m/>
    <d v="2016-08-29T00:00:00"/>
    <m/>
    <n v="791522"/>
    <b v="1"/>
    <m/>
    <m/>
    <m/>
    <x v="0"/>
    <b v="1"/>
    <n v="34088655"/>
    <s v="Marina"/>
    <s v="Bazan"/>
    <s v="Blue Cross Blue Shield of Illinois"/>
    <s v=""/>
    <s v=""/>
    <s v="marina_bazan@bcbsil.com"/>
    <s v=""/>
    <s v=""/>
    <s v=""/>
    <s v=""/>
    <s v=""/>
    <s v=""/>
    <s v=""/>
    <s v=""/>
    <s v=""/>
    <s v=""/>
    <s v=""/>
    <s v=""/>
    <s v=""/>
    <s v=""/>
    <s v=""/>
    <s v=""/>
    <s v="371616Newsletter Recipient"/>
    <m/>
    <x v="0"/>
  </r>
  <r>
    <n v="37822836"/>
    <b v="0"/>
    <b v="0"/>
    <b v="0"/>
    <b v="1"/>
    <b v="0"/>
    <b v="1"/>
    <b v="1"/>
    <b v="0"/>
    <b v="0"/>
    <n v="0"/>
    <n v="0"/>
    <m/>
    <d v="2017-02-24T00:00:00"/>
    <n v="32127162"/>
    <d v="2017-02-24T00:00:00"/>
    <m/>
    <m/>
    <s v=""/>
    <b v="0"/>
    <m/>
    <m/>
    <d v="2017-02-24T00:00:00"/>
    <m/>
    <n v="791522"/>
    <b v="1"/>
    <m/>
    <m/>
    <m/>
    <x v="0"/>
    <b v="1"/>
    <n v="37822836"/>
    <s v="Jessie"/>
    <s v="Beebe"/>
    <s v="AIDS Foundation of Chicago"/>
    <s v=""/>
    <s v=""/>
    <s v="jbeebe@aidschicago.org"/>
    <s v=""/>
    <s v=""/>
    <s v=""/>
    <s v=""/>
    <s v=""/>
    <s v=""/>
    <s v=""/>
    <s v=""/>
    <s v=""/>
    <s v=""/>
    <s v=""/>
    <s v=""/>
    <s v=""/>
    <s v=""/>
    <s v=""/>
    <s v=""/>
    <s v="371616Newsletter Recipient"/>
    <m/>
    <x v="0"/>
  </r>
  <r>
    <n v="44098853"/>
    <b v="0"/>
    <b v="0"/>
    <b v="0"/>
    <b v="1"/>
    <b v="0"/>
    <b v="1"/>
    <b v="1"/>
    <b v="0"/>
    <b v="0"/>
    <n v="0"/>
    <n v="0"/>
    <m/>
    <d v="2018-03-07T00:00:00"/>
    <n v="32127162"/>
    <d v="2018-03-07T00:00:00"/>
    <m/>
    <m/>
    <s v=""/>
    <b v="0"/>
    <m/>
    <m/>
    <d v="2018-03-07T00:00:00"/>
    <m/>
    <n v="791522"/>
    <b v="1"/>
    <m/>
    <d v="2018-03-07T00:00:00"/>
    <m/>
    <x v="0"/>
    <b v="1"/>
    <n v="44098853"/>
    <s v="Chuck"/>
    <s v="Beeman"/>
    <s v="Harmony Health Plan of Illinois - A WellCare Company"/>
    <s v=""/>
    <s v=""/>
    <s v="chuck.beeman@wellcare.com"/>
    <s v=""/>
    <s v=""/>
    <s v=""/>
    <s v=""/>
    <s v=""/>
    <s v=""/>
    <s v=""/>
    <s v=""/>
    <s v="Chief Executive Officer"/>
    <s v=""/>
    <s v=""/>
    <s v=""/>
    <s v=""/>
    <s v=""/>
    <s v=""/>
    <s v=""/>
    <s v="335741Chief Executive Officer, 371616Newsletter Recipient, 372294Finance Committee, 372295Board of Directors/General Distribution List, 420911IAMHP Leadership"/>
    <m/>
    <x v="0"/>
  </r>
  <r>
    <n v="37774265"/>
    <b v="0"/>
    <b v="0"/>
    <b v="0"/>
    <b v="1"/>
    <b v="0"/>
    <b v="1"/>
    <b v="1"/>
    <b v="0"/>
    <b v="0"/>
    <n v="0"/>
    <n v="0"/>
    <m/>
    <d v="2018-03-02T00:00:00"/>
    <n v="32127162"/>
    <d v="2017-02-20T00:00:00"/>
    <m/>
    <m/>
    <s v=""/>
    <b v="0"/>
    <m/>
    <m/>
    <d v="2017-02-20T00:00:00"/>
    <m/>
    <n v="791522"/>
    <b v="1"/>
    <m/>
    <m/>
    <m/>
    <x v="0"/>
    <b v="1"/>
    <n v="37774265"/>
    <s v="Daniel"/>
    <s v="Beiser"/>
    <s v="Illinois General Assembly"/>
    <s v=""/>
    <s v="Representative Daniel V. Beiser (D)_x000a_111th District_x0009_ _x0009__x000a__x000a_Springfield Office:_x000a_263-S Stratton Office Building_x000a_Springfield, IL   62706_x000a_(217) 782-5996_x000a_(217) 558-0493 FAX_x000a__x000a_District Office:_x000a_528 Henry St._x000a_Alton, IL  62002_x000a_(618) 465-5900_x000a_(618) 465-5150 FAX"/>
    <s v=""/>
    <s v=""/>
    <s v=""/>
    <s v=""/>
    <s v=""/>
    <s v=""/>
    <s v="217.782.5996"/>
    <s v=""/>
    <s v=""/>
    <s v=""/>
    <s v=""/>
    <s v=""/>
    <s v=""/>
    <s v=""/>
    <s v=""/>
    <s v=""/>
    <s v=""/>
    <s v="371616Newsletter Recipient, 371627House of Representatives"/>
    <m/>
    <x v="0"/>
  </r>
  <r>
    <n v="45120128"/>
    <b v="0"/>
    <b v="0"/>
    <b v="0"/>
    <b v="1"/>
    <b v="0"/>
    <b v="1"/>
    <b v="1"/>
    <b v="0"/>
    <b v="0"/>
    <n v="0"/>
    <n v="0"/>
    <m/>
    <d v="2018-05-08T00:00:00"/>
    <n v="32127162"/>
    <d v="2018-05-08T00:00:00"/>
    <m/>
    <m/>
    <s v=""/>
    <b v="0"/>
    <m/>
    <m/>
    <d v="2018-05-08T00:00:00"/>
    <m/>
    <n v="791522"/>
    <b v="1"/>
    <m/>
    <d v="2018-05-08T00:00:00"/>
    <m/>
    <x v="0"/>
    <b v="1"/>
    <n v="45120128"/>
    <s v="Aissa"/>
    <s v="Bell"/>
    <s v="Harmony Health Plan of Illinois - A WellCare Company"/>
    <s v=""/>
    <s v=""/>
    <s v="aissa.bell@wellcare.com"/>
    <s v=""/>
    <s v=""/>
    <s v=""/>
    <s v=""/>
    <s v=""/>
    <s v=""/>
    <s v=""/>
    <s v="Harmony Health Plan of Illinois - A WellCare Company"/>
    <s v="Manager of Provider Relations"/>
    <s v=""/>
    <s v=""/>
    <s v=""/>
    <s v=""/>
    <s v=""/>
    <s v=""/>
    <s v=""/>
    <s v="335736Provider Relations - Committee Members, 371616Newsletter Recipient"/>
    <m/>
    <x v="0"/>
  </r>
  <r>
    <n v="43419330"/>
    <b v="0"/>
    <b v="0"/>
    <b v="0"/>
    <b v="1"/>
    <b v="0"/>
    <b v="1"/>
    <b v="1"/>
    <b v="0"/>
    <b v="0"/>
    <n v="0"/>
    <n v="0"/>
    <m/>
    <d v="2018-06-26T00:00:00"/>
    <n v="32127162"/>
    <d v="2018-01-22T00:00:00"/>
    <m/>
    <m/>
    <s v=""/>
    <b v="0"/>
    <m/>
    <m/>
    <d v="2018-01-22T00:00:00"/>
    <m/>
    <n v="791522"/>
    <b v="1"/>
    <m/>
    <d v="2018-01-22T00:00:00"/>
    <m/>
    <x v="0"/>
    <b v="1"/>
    <n v="43419330"/>
    <s v="Evan"/>
    <s v="Bell"/>
    <s v="NextLevel Health"/>
    <s v=""/>
    <s v=""/>
    <s v="evan.bell@nlhpartners.com"/>
    <s v=""/>
    <s v=""/>
    <s v=""/>
    <s v=""/>
    <s v=""/>
    <s v=""/>
    <s v=""/>
    <s v=""/>
    <s v=""/>
    <s v=""/>
    <s v=""/>
    <s v=""/>
    <s v=""/>
    <s v=""/>
    <s v=""/>
    <s v=""/>
    <s v="335736Provider Relations - Committee Members, 371616Newsletter Recipient, 372293Quality Committee, 372294Finance Committee, 372295Board of Directors/General Distribution List, 372296Legislative Committee, 372297Operations Committee, 372298Operations Transportation Subcommittee, 372306Marketing Committee, 372312IHA-IAMHP Working Group, 3767711115 Workgroup, 428788Pharmacy Director Committee, 443813Discharge Planning, 443814Billing Working Group, 447857HFS Ops Workgroup"/>
    <m/>
    <x v="0"/>
  </r>
  <r>
    <n v="34089081"/>
    <b v="0"/>
    <b v="0"/>
    <b v="0"/>
    <b v="1"/>
    <b v="0"/>
    <b v="1"/>
    <b v="1"/>
    <b v="0"/>
    <b v="0"/>
    <n v="0"/>
    <n v="0"/>
    <m/>
    <d v="2018-05-04T00:00:00"/>
    <n v="32127162"/>
    <d v="2016-08-29T00:00:00"/>
    <m/>
    <m/>
    <s v=""/>
    <b v="0"/>
    <m/>
    <m/>
    <d v="2016-08-29T00:00:00"/>
    <m/>
    <n v="791522"/>
    <b v="1"/>
    <m/>
    <m/>
    <m/>
    <x v="0"/>
    <b v="1"/>
    <n v="34089081"/>
    <s v="Stephanie"/>
    <s v="Bell"/>
    <s v="Harmony Health Plan of Illinois - A WellCare Company"/>
    <s v=""/>
    <s v=""/>
    <s v="Stephanie.Bell@wellcare.com"/>
    <s v="312.630.2025"/>
    <s v=""/>
    <s v=""/>
    <s v=""/>
    <s v=""/>
    <s v=""/>
    <s v=""/>
    <s v=""/>
    <s v=""/>
    <s v=""/>
    <s v=""/>
    <s v=""/>
    <s v=""/>
    <s v=""/>
    <s v=""/>
    <s v=""/>
    <s v="335736Provider Relations - Committee Members, 371616Newsletter Recipient"/>
    <m/>
    <x v="0"/>
  </r>
  <r>
    <n v="37774269"/>
    <b v="0"/>
    <b v="0"/>
    <b v="0"/>
    <b v="1"/>
    <b v="0"/>
    <b v="1"/>
    <b v="1"/>
    <b v="0"/>
    <b v="0"/>
    <n v="0"/>
    <n v="0"/>
    <m/>
    <d v="2018-03-02T00:00:00"/>
    <n v="32127162"/>
    <d v="2017-02-20T00:00:00"/>
    <m/>
    <m/>
    <s v=""/>
    <b v="0"/>
    <m/>
    <m/>
    <d v="2017-02-20T00:00:00"/>
    <m/>
    <n v="791522"/>
    <b v="1"/>
    <m/>
    <m/>
    <m/>
    <x v="0"/>
    <b v="1"/>
    <n v="37774269"/>
    <s v="Patricia"/>
    <s v="Bellock"/>
    <s v="Illinois General Assembly"/>
    <s v=""/>
    <s v="Representative Patricia R. Bellock (R)_x000a_47th District_x000a_Deputy Republican Leader _x0009__x000a__x000a_Springfield Office:_x000a_217-N Stratton Office Building_x000a_Springfield, IL   62706_x000a_(217) 782-1448_x000a_(217) 782-1141 FAX_x000a__x000a_District Office:_x000a_1 S. Cass Ave._x000a_Westmont Centre, Suite 205_x000a_Westmont, IL  60559_x000a_(630) 852-8633_x000a_(630) 852-6530 FAX"/>
    <s v="rep@pbellock.com"/>
    <s v=""/>
    <s v=""/>
    <s v=""/>
    <s v=""/>
    <s v=""/>
    <s v="217.782.1448"/>
    <s v=""/>
    <s v=""/>
    <s v=""/>
    <s v=""/>
    <s v=""/>
    <s v=""/>
    <s v=""/>
    <s v=""/>
    <s v=""/>
    <s v=""/>
    <s v="371616Newsletter Recipient, 371627House of Representatives"/>
    <m/>
    <x v="0"/>
  </r>
  <r>
    <n v="36549162"/>
    <b v="0"/>
    <b v="0"/>
    <b v="0"/>
    <b v="1"/>
    <b v="0"/>
    <b v="1"/>
    <b v="1"/>
    <b v="0"/>
    <b v="0"/>
    <n v="0"/>
    <n v="0"/>
    <m/>
    <d v="2018-03-02T00:00:00"/>
    <n v="32127162"/>
    <d v="2016-12-14T00:00:00"/>
    <m/>
    <m/>
    <s v=""/>
    <b v="0"/>
    <m/>
    <m/>
    <d v="2016-12-14T00:00:00"/>
    <m/>
    <n v="791522"/>
    <b v="1"/>
    <m/>
    <m/>
    <m/>
    <x v="0"/>
    <b v="1"/>
    <n v="36549162"/>
    <s v="Katie"/>
    <s v="Benedict"/>
    <s v="Valence Health"/>
    <s v=""/>
    <s v="Provider Services Director"/>
    <s v="kbenedict@valencehealth.com"/>
    <s v="312.754.4839"/>
    <s v=""/>
    <s v=""/>
    <s v=""/>
    <s v=""/>
    <s v=""/>
    <s v=""/>
    <s v=""/>
    <s v=""/>
    <s v=""/>
    <s v=""/>
    <s v=""/>
    <s v=""/>
    <s v=""/>
    <s v=""/>
    <s v=""/>
    <s v="335736Provider Relations - Committee Members, 371616Newsletter Recipient"/>
    <m/>
    <x v="0"/>
  </r>
  <r>
    <n v="44027143"/>
    <b v="0"/>
    <b v="0"/>
    <b v="0"/>
    <b v="1"/>
    <b v="0"/>
    <b v="1"/>
    <b v="1"/>
    <b v="0"/>
    <b v="0"/>
    <n v="0"/>
    <n v="0"/>
    <m/>
    <d v="2018-05-09T00:00:00"/>
    <n v="32127162"/>
    <d v="2018-03-02T00:00:00"/>
    <m/>
    <m/>
    <s v=""/>
    <b v="0"/>
    <m/>
    <m/>
    <d v="2018-03-02T00:00:00"/>
    <m/>
    <n v="791522"/>
    <b v="1"/>
    <m/>
    <d v="2018-03-02T00:00:00"/>
    <m/>
    <x v="0"/>
    <b v="1"/>
    <n v="44027143"/>
    <s v="Karina"/>
    <s v="Benitez"/>
    <s v="IlliniCare Health"/>
    <s v=""/>
    <s v=""/>
    <s v="kbenitez@illinicare.com"/>
    <s v="866.329.4701 ext 47218"/>
    <s v=""/>
    <s v=""/>
    <s v=""/>
    <s v=""/>
    <s v=""/>
    <s v=""/>
    <s v=""/>
    <s v=""/>
    <s v=""/>
    <s v=""/>
    <s v=""/>
    <s v=""/>
    <s v=""/>
    <s v=""/>
    <s v=""/>
    <s v="420987LTC - Contracts, 420988LTC - Claims &amp; Billing, 420989LTC - Care Coordination"/>
    <s v="10633525Contracts, 10633526Claims/Billing, 10633527Care Coordination"/>
    <x v="0"/>
  </r>
  <r>
    <n v="37822861"/>
    <b v="0"/>
    <b v="0"/>
    <b v="0"/>
    <b v="1"/>
    <b v="0"/>
    <b v="1"/>
    <b v="1"/>
    <b v="0"/>
    <b v="0"/>
    <n v="0"/>
    <n v="0"/>
    <m/>
    <d v="2017-02-24T00:00:00"/>
    <n v="32127162"/>
    <d v="2017-02-24T00:00:00"/>
    <m/>
    <m/>
    <s v=""/>
    <b v="0"/>
    <m/>
    <m/>
    <d v="2017-02-24T00:00:00"/>
    <m/>
    <n v="791522"/>
    <b v="1"/>
    <m/>
    <m/>
    <m/>
    <x v="0"/>
    <b v="1"/>
    <n v="37822861"/>
    <s v="Khadine"/>
    <s v="Bennett"/>
    <s v=""/>
    <s v=""/>
    <s v=""/>
    <s v="kbennett@aclu-il.org"/>
    <s v=""/>
    <s v=""/>
    <s v=""/>
    <s v=""/>
    <s v=""/>
    <s v=""/>
    <s v=""/>
    <s v=""/>
    <s v=""/>
    <s v=""/>
    <s v=""/>
    <s v=""/>
    <s v=""/>
    <s v=""/>
    <s v=""/>
    <s v=""/>
    <s v="371616Newsletter Recipient"/>
    <m/>
    <x v="0"/>
  </r>
  <r>
    <n v="37770380"/>
    <b v="0"/>
    <b v="0"/>
    <b v="0"/>
    <b v="1"/>
    <b v="0"/>
    <b v="1"/>
    <b v="1"/>
    <b v="0"/>
    <b v="0"/>
    <n v="0"/>
    <n v="0"/>
    <m/>
    <d v="2017-02-24T00:00:00"/>
    <n v="32127162"/>
    <d v="2017-02-20T00:00:00"/>
    <m/>
    <m/>
    <s v=""/>
    <b v="0"/>
    <m/>
    <m/>
    <d v="2017-02-20T00:00:00"/>
    <m/>
    <n v="791522"/>
    <b v="1"/>
    <m/>
    <m/>
    <m/>
    <x v="0"/>
    <b v="1"/>
    <n v="37770380"/>
    <s v="Scott"/>
    <s v="Bennett"/>
    <s v="Illinois General Assembly"/>
    <s v="Senator"/>
    <s v="Senator Scott M. Bennett (D)_x000a_52nd District_x000a__x000a_Springfield Office:_x000a_Senator 52nd District_x000a_218B Capitol Building_x000a_Springfield, IL   62706_x000a_(217) 782-2507_x000a_ _x000a_District Office:_x000a_45 E. University Ave._x000a_Suite 206_x000a_Champaign, IL  61820_x000a_(217) 355-5252_x000a_(217) 355-5255 FAX"/>
    <s v=""/>
    <s v=""/>
    <s v=""/>
    <s v=""/>
    <s v=""/>
    <s v=""/>
    <s v="(217) 782-2507"/>
    <s v=""/>
    <s v=""/>
    <s v=""/>
    <s v=""/>
    <s v=""/>
    <s v=""/>
    <s v=""/>
    <s v=""/>
    <s v=""/>
    <s v=""/>
    <s v="371609Senator, 371616Newsletter Recipient"/>
    <m/>
    <x v="0"/>
  </r>
  <r>
    <n v="37778105"/>
    <b v="0"/>
    <b v="0"/>
    <b v="0"/>
    <b v="1"/>
    <b v="0"/>
    <b v="1"/>
    <b v="1"/>
    <b v="0"/>
    <b v="0"/>
    <n v="0"/>
    <n v="0"/>
    <m/>
    <d v="2017-02-20T00:00:00"/>
    <n v="32127162"/>
    <d v="2017-02-20T00:00:00"/>
    <m/>
    <m/>
    <s v=""/>
    <b v="0"/>
    <m/>
    <m/>
    <d v="2017-02-20T00:00:00"/>
    <m/>
    <n v="791522"/>
    <b v="1"/>
    <m/>
    <m/>
    <m/>
    <x v="0"/>
    <b v="1"/>
    <n v="37778105"/>
    <s v="Thomas"/>
    <s v="Bennett"/>
    <s v="Illinois General Assembly"/>
    <s v=""/>
    <s v="Representative Thomas M. Bennett (R)_x000a_106th District_x0009_ _x0009__x000a__x000a_Springfield Office:_x000a_220-N Stratton Office Building_x000a_Springfield, IL   62706_x000a_(217) 558-1039_x000a_(217) 782-1275 FAX_x000a__x000a_District Office:_x000a_311 N. Mill St._x000a_Suite 2_x000a_Pontiac, IL  61764_x000a_(815) 844-9179_x000a__x000a_342 W. Walnut St._x000a_Watseka, IL 60970_x000a_(815) 432-0106"/>
    <s v=""/>
    <s v=""/>
    <s v=""/>
    <s v=""/>
    <s v=""/>
    <s v=""/>
    <s v="(217) 558-1039"/>
    <s v=""/>
    <s v=""/>
    <s v=""/>
    <s v=""/>
    <s v=""/>
    <s v=""/>
    <s v=""/>
    <s v=""/>
    <s v=""/>
    <s v=""/>
    <s v="371616Newsletter Recipient, 371627House of Representatives"/>
    <m/>
    <x v="0"/>
  </r>
  <r>
    <n v="34033387"/>
    <b v="0"/>
    <b v="0"/>
    <b v="0"/>
    <b v="1"/>
    <b v="0"/>
    <b v="1"/>
    <b v="1"/>
    <b v="0"/>
    <b v="0"/>
    <n v="0"/>
    <n v="0"/>
    <m/>
    <d v="2017-12-06T00:00:00"/>
    <n v="32127162"/>
    <d v="2016-08-23T00:00:00"/>
    <m/>
    <m/>
    <s v=""/>
    <b v="0"/>
    <m/>
    <m/>
    <d v="2016-08-23T00:00:00"/>
    <m/>
    <n v="791522"/>
    <b v="1"/>
    <m/>
    <m/>
    <m/>
    <x v="0"/>
    <b v="1"/>
    <n v="34033387"/>
    <s v="Stephen"/>
    <s v="Berry"/>
    <s v="Harmony Health Plan of Illinois - A WellCare Company"/>
    <s v=""/>
    <s v=""/>
    <s v="Stephen.Berry@wellcare.com"/>
    <s v="312-516-5871"/>
    <s v=""/>
    <s v=""/>
    <s v=""/>
    <s v=""/>
    <s v=""/>
    <s v=""/>
    <s v=""/>
    <s v=""/>
    <s v=""/>
    <s v=""/>
    <s v=""/>
    <s v=""/>
    <s v=""/>
    <s v=""/>
    <s v=""/>
    <s v="335742Chief Financial Officer, 371616Newsletter Recipient, 372294Finance Committee"/>
    <m/>
    <x v="0"/>
  </r>
  <r>
    <n v="37770395"/>
    <b v="0"/>
    <b v="0"/>
    <b v="0"/>
    <b v="1"/>
    <b v="0"/>
    <b v="1"/>
    <b v="1"/>
    <b v="0"/>
    <b v="0"/>
    <n v="0"/>
    <n v="0"/>
    <m/>
    <d v="2017-02-24T00:00:00"/>
    <n v="32127162"/>
    <d v="2017-02-20T00:00:00"/>
    <m/>
    <m/>
    <s v=""/>
    <b v="0"/>
    <m/>
    <m/>
    <d v="2017-02-20T00:00:00"/>
    <m/>
    <n v="791522"/>
    <b v="1"/>
    <m/>
    <m/>
    <m/>
    <x v="0"/>
    <b v="1"/>
    <n v="37770395"/>
    <s v="Jennifer"/>
    <s v="Bertino-Tarrant"/>
    <s v="Illinois General Assembly"/>
    <s v=""/>
    <s v="Senator Jennifer Bertino-Tarrant (D)_x000a_49th District_x000a__x000a_Springfield Office:_x000a_Senator 49th District_x000a_119B Capitol Building_x000a_Springfield, IL   62706_x000a_(217) 782-0052_x000a_ _x000a_District Office:_x000a_15300 Route 59_x000a_Unit 202_x000a_Plainfield, IL  60544_x000a_(815) 254-4211_x000a_(815) 254-4213 FAX"/>
    <s v=""/>
    <s v=""/>
    <s v=""/>
    <s v=""/>
    <s v=""/>
    <s v=""/>
    <s v="(217) 782-0052"/>
    <s v=""/>
    <s v=""/>
    <s v=""/>
    <s v=""/>
    <s v=""/>
    <s v=""/>
    <s v=""/>
    <s v=""/>
    <s v=""/>
    <s v=""/>
    <s v="371609Senator, 371616Newsletter Recipient"/>
    <m/>
    <x v="0"/>
  </r>
  <r>
    <n v="43277044"/>
    <b v="0"/>
    <b v="0"/>
    <b v="0"/>
    <b v="1"/>
    <b v="0"/>
    <b v="1"/>
    <b v="1"/>
    <b v="0"/>
    <b v="0"/>
    <n v="0"/>
    <n v="0"/>
    <m/>
    <d v="2018-02-12T00:00:00"/>
    <n v="32127162"/>
    <d v="2018-01-16T00:00:00"/>
    <m/>
    <m/>
    <s v=""/>
    <b v="0"/>
    <m/>
    <m/>
    <d v="2018-01-16T00:00:00"/>
    <m/>
    <n v="791522"/>
    <b v="1"/>
    <m/>
    <d v="2018-01-16T00:00:00"/>
    <m/>
    <x v="0"/>
    <b v="1"/>
    <n v="43277044"/>
    <s v=""/>
    <s v=""/>
    <s v="besafemeds/Q-Me 24-7"/>
    <s v=""/>
    <s v=""/>
    <s v="info@besafemeds.com"/>
    <s v="(925) 690-9712"/>
    <s v=""/>
    <s v=""/>
    <s v=""/>
    <s v=""/>
    <s v=""/>
    <s v=""/>
    <s v=""/>
    <s v=""/>
    <s v=""/>
    <s v=""/>
    <s v=""/>
    <s v="321 N Clark Street, Suite 5018"/>
    <s v="Chicago"/>
    <s v="IL"/>
    <s v="60654"/>
    <s v="371616Newsletter Recipient, 372311Business Member"/>
    <m/>
    <x v="0"/>
  </r>
  <r>
    <n v="43419363"/>
    <b v="0"/>
    <b v="0"/>
    <b v="0"/>
    <b v="1"/>
    <b v="0"/>
    <b v="1"/>
    <b v="1"/>
    <b v="0"/>
    <b v="0"/>
    <n v="0"/>
    <n v="0"/>
    <m/>
    <d v="2018-01-22T00:00:00"/>
    <n v="32127162"/>
    <d v="2018-01-22T00:00:00"/>
    <m/>
    <m/>
    <s v=""/>
    <b v="0"/>
    <m/>
    <m/>
    <d v="2018-01-22T00:00:00"/>
    <m/>
    <n v="791522"/>
    <b v="1"/>
    <m/>
    <d v="2018-01-22T00:00:00"/>
    <m/>
    <x v="0"/>
    <b v="1"/>
    <n v="43419363"/>
    <s v="Andy"/>
    <s v="Bhugra"/>
    <s v="NextLevel Health"/>
    <s v=""/>
    <s v="CFO"/>
    <s v="andy.bhugra@nlhpartners.com"/>
    <s v=""/>
    <s v=""/>
    <s v=""/>
    <s v=""/>
    <s v=""/>
    <s v=""/>
    <s v=""/>
    <s v=""/>
    <s v="VP of Finance"/>
    <s v=""/>
    <s v=""/>
    <s v=""/>
    <s v=""/>
    <s v=""/>
    <s v=""/>
    <s v=""/>
    <s v="335742Chief Financial Officer, 371616Newsletter Recipient, 372294Finance Committee"/>
    <m/>
    <x v="0"/>
  </r>
  <r>
    <n v="43487281"/>
    <b v="0"/>
    <b v="0"/>
    <b v="0"/>
    <b v="1"/>
    <b v="0"/>
    <b v="1"/>
    <b v="1"/>
    <b v="0"/>
    <b v="0"/>
    <n v="0"/>
    <n v="0"/>
    <m/>
    <d v="2018-01-29T00:00:00"/>
    <n v="32127162"/>
    <d v="2018-01-29T00:00:00"/>
    <m/>
    <m/>
    <s v=""/>
    <b v="0"/>
    <m/>
    <m/>
    <d v="2018-01-28T00:00:00"/>
    <m/>
    <n v="791522"/>
    <b v="1"/>
    <m/>
    <d v="2018-01-29T00:00:00"/>
    <m/>
    <x v="0"/>
    <b v="1"/>
    <n v="43487281"/>
    <s v="Lee"/>
    <s v="Biedermann"/>
    <s v="Blue Cross Blue Shield of Illinois"/>
    <s v=""/>
    <s v=""/>
    <s v="BiedermannL@bcbsil.com"/>
    <s v="(312) 653-6315"/>
    <s v=""/>
    <s v=""/>
    <s v=""/>
    <s v=""/>
    <s v=""/>
    <s v=""/>
    <s v=""/>
    <s v=""/>
    <s v=""/>
    <s v=""/>
    <s v=""/>
    <s v=""/>
    <s v=""/>
    <s v=""/>
    <s v=""/>
    <s v="371616Newsletter Recipient, 420941Hospitals - Contracts"/>
    <s v="10633525Contracts"/>
    <x v="0"/>
  </r>
  <r>
    <n v="46435966"/>
    <b v="0"/>
    <b v="0"/>
    <b v="0"/>
    <b v="1"/>
    <b v="0"/>
    <b v="1"/>
    <b v="1"/>
    <b v="0"/>
    <b v="0"/>
    <n v="0"/>
    <n v="0"/>
    <m/>
    <d v="2018-06-21T00:00:00"/>
    <n v="32127162"/>
    <d v="2018-06-21T00:00:00"/>
    <m/>
    <m/>
    <s v=""/>
    <b v="0"/>
    <m/>
    <m/>
    <d v="2018-06-21T00:00:00"/>
    <m/>
    <n v="791522"/>
    <b v="1"/>
    <m/>
    <d v="2018-06-21T00:00:00"/>
    <m/>
    <x v="0"/>
    <b v="1"/>
    <n v="46435966"/>
    <s v="Carrie"/>
    <s v="Bill"/>
    <s v="Seasons Hospice &amp; Palliative Care"/>
    <s v=""/>
    <s v=""/>
    <s v="cbill@seasons.org"/>
    <s v=""/>
    <s v=""/>
    <s v=""/>
    <s v=""/>
    <s v=""/>
    <s v=""/>
    <s v=""/>
    <s v="Seasons Hospice &amp; Palliative Care"/>
    <s v=""/>
    <s v=""/>
    <s v=""/>
    <s v=""/>
    <s v=""/>
    <s v=""/>
    <s v=""/>
    <s v=""/>
    <s v="371616Newsletter Recipient"/>
    <m/>
    <x v="0"/>
  </r>
  <r>
    <n v="37770397"/>
    <b v="0"/>
    <b v="0"/>
    <b v="0"/>
    <b v="1"/>
    <b v="0"/>
    <b v="1"/>
    <b v="1"/>
    <b v="0"/>
    <b v="0"/>
    <n v="0"/>
    <n v="0"/>
    <m/>
    <d v="2017-02-24T00:00:00"/>
    <n v="32127162"/>
    <d v="2017-02-20T00:00:00"/>
    <m/>
    <m/>
    <s v=""/>
    <b v="0"/>
    <m/>
    <m/>
    <d v="2017-02-20T00:00:00"/>
    <m/>
    <n v="791522"/>
    <b v="1"/>
    <m/>
    <m/>
    <m/>
    <x v="0"/>
    <b v="1"/>
    <n v="37770397"/>
    <s v="Daniel"/>
    <s v="Biss"/>
    <s v="Illinois General Assembly"/>
    <s v="Senator"/>
    <s v="Senator Daniel Biss (D)_x000a_9th District_x000a__x000a_Springfield Office:_x000a_Senator 9th District_x000a_417B Capitol Building_x000a_Springfield, IL   62706_x000a_(217) 782-2119_x000a_ _x000a_District Office:_x000a_3706 Dempster Street_x000a_Skokie, IL  60076_x000a_(847) 568-1250_x000a_(847) 568-1256 FAX"/>
    <s v="daniel.biss@gmail.com"/>
    <s v=""/>
    <s v=""/>
    <s v=""/>
    <s v="senatorbiss@gmail.com"/>
    <s v=""/>
    <s v="(217) 782-2119"/>
    <s v=""/>
    <s v=""/>
    <s v=""/>
    <s v=""/>
    <s v=""/>
    <s v=""/>
    <s v=""/>
    <s v=""/>
    <s v=""/>
    <s v=""/>
    <s v="371609Senator, 371616Newsletter Recipient"/>
    <m/>
    <x v="0"/>
  </r>
  <r>
    <n v="37770406"/>
    <b v="0"/>
    <b v="0"/>
    <b v="0"/>
    <b v="1"/>
    <b v="0"/>
    <b v="1"/>
    <b v="1"/>
    <b v="0"/>
    <b v="0"/>
    <n v="0"/>
    <n v="0"/>
    <m/>
    <d v="2017-02-24T00:00:00"/>
    <n v="32127162"/>
    <d v="2017-02-20T00:00:00"/>
    <m/>
    <m/>
    <s v=""/>
    <b v="0"/>
    <m/>
    <m/>
    <d v="2017-02-20T00:00:00"/>
    <m/>
    <n v="791522"/>
    <b v="1"/>
    <m/>
    <m/>
    <m/>
    <x v="0"/>
    <b v="1"/>
    <n v="37770406"/>
    <s v="Tim"/>
    <s v="Bivens"/>
    <s v="Illinois General Assembly"/>
    <s v=""/>
    <s v="Senator Tim Bivins (R)_x000a_45th District_x000a__x000a_Springfield Office:_x000a_Senator 45th District_x000a_103A Capitol Building_x000a_Springfield, IL   62706_x000a_(217) 782-0180_x000a_(217) 782-4079 FAX_x000a_ _x000a_District Office:_x000a_629 N. Galena Ave._x000a_Dixon, IL  61021_x000a_(815) 284-0045_x000a_(815) 284-0207 FAX_x000a__x000a_50 W. Douglas,_x000a_Freeport, IL 61032_x000a_(815) 233-0037_x000a_(815) 232-0777 FAX"/>
    <s v=""/>
    <s v=""/>
    <s v=""/>
    <s v=""/>
    <s v=""/>
    <s v=""/>
    <s v="(217) 782-0180"/>
    <s v=""/>
    <s v=""/>
    <s v=""/>
    <s v=""/>
    <s v=""/>
    <s v=""/>
    <s v=""/>
    <s v=""/>
    <s v=""/>
    <s v=""/>
    <s v="371609Senator, 371616Newsletter Recipient"/>
    <m/>
    <x v="0"/>
  </r>
  <r>
    <n v="43665900"/>
    <b v="0"/>
    <b v="0"/>
    <b v="0"/>
    <b v="1"/>
    <b v="0"/>
    <b v="1"/>
    <b v="1"/>
    <b v="0"/>
    <b v="0"/>
    <n v="0"/>
    <n v="0"/>
    <m/>
    <d v="2018-04-24T00:00:00"/>
    <n v="32127162"/>
    <d v="2018-02-07T00:00:00"/>
    <m/>
    <m/>
    <s v=""/>
    <b v="0"/>
    <m/>
    <m/>
    <d v="2018-02-07T00:00:00"/>
    <m/>
    <n v="791522"/>
    <b v="1"/>
    <m/>
    <d v="2018-02-07T00:00:00"/>
    <m/>
    <x v="0"/>
    <b v="1"/>
    <n v="43665900"/>
    <s v="Kimberly"/>
    <s v="Blackwell"/>
    <s v="Molina Healthcare of Illinois, Inc."/>
    <s v=""/>
    <s v=""/>
    <s v="kimberly.blackwell@molinahealthcare.com"/>
    <s v=""/>
    <s v=""/>
    <s v=""/>
    <s v=""/>
    <s v=""/>
    <s v=""/>
    <s v=""/>
    <s v=""/>
    <s v=""/>
    <s v=""/>
    <s v=""/>
    <s v=""/>
    <s v=""/>
    <s v=""/>
    <s v=""/>
    <s v=""/>
    <s v="350522Compliance Officer, 371616Newsletter Recipient, 441580Compliance Committee"/>
    <m/>
    <x v="0"/>
  </r>
  <r>
    <n v="44399099"/>
    <b v="0"/>
    <b v="0"/>
    <b v="0"/>
    <b v="1"/>
    <b v="0"/>
    <b v="1"/>
    <b v="1"/>
    <b v="0"/>
    <b v="0"/>
    <n v="0"/>
    <n v="0"/>
    <m/>
    <d v="2018-04-24T00:00:00"/>
    <n v="32127162"/>
    <d v="2018-03-26T00:00:00"/>
    <m/>
    <m/>
    <s v=""/>
    <b v="0"/>
    <m/>
    <m/>
    <d v="2018-03-26T00:00:00"/>
    <m/>
    <n v="791522"/>
    <b v="1"/>
    <m/>
    <d v="2018-03-26T00:00:00"/>
    <m/>
    <x v="0"/>
    <b v="1"/>
    <n v="44399099"/>
    <s v="Cathy"/>
    <s v="Bodnar"/>
    <s v="CountyCare Health Plan"/>
    <s v=""/>
    <s v=""/>
    <s v="cbodnar@cookcountyhhs.org"/>
    <s v=""/>
    <s v=""/>
    <s v=""/>
    <s v=""/>
    <s v=""/>
    <s v="312-864-0903"/>
    <s v="312-864-9748"/>
    <s v="Cook County Health &amp; Hospitals System"/>
    <s v="Chief Compliance and Privacy Officer"/>
    <s v=""/>
    <s v=""/>
    <s v=""/>
    <s v=""/>
    <s v=""/>
    <s v=""/>
    <s v=""/>
    <s v="350522Compliance Officer, 371616Newsletter Recipient, 441580Compliance Committee"/>
    <m/>
    <x v="0"/>
  </r>
  <r>
    <n v="41712649"/>
    <b v="0"/>
    <b v="0"/>
    <b v="0"/>
    <b v="1"/>
    <b v="0"/>
    <b v="1"/>
    <b v="1"/>
    <b v="0"/>
    <b v="0"/>
    <n v="0"/>
    <n v="0"/>
    <m/>
    <d v="2018-05-29T00:00:00"/>
    <n v="32127162"/>
    <d v="2017-09-21T00:00:00"/>
    <m/>
    <m/>
    <s v=""/>
    <b v="0"/>
    <m/>
    <m/>
    <d v="2017-09-21T00:00:00"/>
    <m/>
    <n v="791522"/>
    <b v="1"/>
    <m/>
    <d v="2017-09-21T00:00:00"/>
    <m/>
    <x v="0"/>
    <b v="1"/>
    <n v="41712649"/>
    <s v="Courtney"/>
    <s v="Boileau"/>
    <s v="Blue Cross Blue Shield of Illinois"/>
    <s v=""/>
    <s v=""/>
    <s v="courtney_boileau@bcbsil.com"/>
    <s v="(312) 653-5013"/>
    <s v=""/>
    <s v=""/>
    <s v=""/>
    <s v=""/>
    <s v=""/>
    <s v=""/>
    <s v=""/>
    <s v="Acting Director for Operations"/>
    <s v=""/>
    <s v=""/>
    <s v=""/>
    <s v=""/>
    <s v=""/>
    <s v=""/>
    <s v=""/>
    <s v="371616Newsletter Recipient, 372297Operations Committee, 420924Community Mental Health - Claims &amp; Billing, 420930Durable Medical Equipment - Claims &amp; Billing, 420933FQHC - Claims &amp; Billing, 420936Home Health - Claims &amp; Billing, 420939Hospice - Claims &amp; Billing, 420942Hospitals - Claims &amp; Billing, 420945Mental Health - Claims &amp; Billing, 420948Methadone Treatment - Claims &amp; Billing, 420951Physicians - Claims &amp; Billing, 420954Public Health Department - Claims &amp; Billing, 420961Substance Use Disorder - Claims &amp; Billing, 420974Children's Services - Claims &amp; Billing, 420988LTC - Claims &amp; Billing, 447857HFS Ops Workgroup"/>
    <s v="10633526Claims/Billing"/>
    <x v="0"/>
  </r>
  <r>
    <n v="42737346"/>
    <b v="0"/>
    <b v="0"/>
    <b v="1"/>
    <b v="1"/>
    <b v="0"/>
    <b v="1"/>
    <b v="1"/>
    <b v="0"/>
    <b v="0"/>
    <n v="0"/>
    <n v="0"/>
    <m/>
    <d v="2017-12-14T00:00:00"/>
    <n v="32127162"/>
    <d v="2017-11-25T00:00:00"/>
    <m/>
    <m/>
    <s v=""/>
    <b v="0"/>
    <m/>
    <m/>
    <d v="2017-12-08T00:00:00"/>
    <m/>
    <n v="791522"/>
    <b v="1"/>
    <m/>
    <d v="2017-12-08T00:00:00"/>
    <m/>
    <x v="0"/>
    <b v="1"/>
    <n v="42737346"/>
    <s v="Genia"/>
    <s v="Bollmann"/>
    <s v="Human Service Center of Southern Metro East"/>
    <s v=""/>
    <s v=""/>
    <s v="g.bollmann@humanservicegroup.com"/>
    <s v=""/>
    <s v=""/>
    <s v=""/>
    <s v=""/>
    <s v=""/>
    <s v=""/>
    <s v=""/>
    <s v=""/>
    <s v=""/>
    <s v=""/>
    <s v=""/>
    <s v=""/>
    <s v=""/>
    <s v=""/>
    <s v=""/>
    <s v=""/>
    <s v="371616Newsletter Recipient"/>
    <m/>
    <x v="0"/>
  </r>
  <r>
    <n v="39398882"/>
    <b v="0"/>
    <b v="0"/>
    <b v="0"/>
    <b v="1"/>
    <b v="0"/>
    <b v="1"/>
    <b v="1"/>
    <b v="0"/>
    <b v="0"/>
    <n v="0"/>
    <n v="0"/>
    <m/>
    <d v="2017-06-21T00:00:00"/>
    <n v="32127162"/>
    <d v="2017-06-21T00:00:00"/>
    <m/>
    <m/>
    <s v=""/>
    <b v="0"/>
    <m/>
    <m/>
    <d v="2017-06-21T00:00:00"/>
    <m/>
    <n v="791522"/>
    <b v="1"/>
    <m/>
    <m/>
    <m/>
    <x v="0"/>
    <b v="1"/>
    <n v="39398882"/>
    <s v="Marilyn"/>
    <s v="Bonner"/>
    <s v="TMG Health"/>
    <s v=""/>
    <s v=""/>
    <s v="mbonner@tmghealth.com"/>
    <s v=""/>
    <s v=""/>
    <s v=""/>
    <s v=""/>
    <s v=""/>
    <s v=""/>
    <s v=""/>
    <s v=""/>
    <s v=""/>
    <s v=""/>
    <s v=""/>
    <s v=""/>
    <s v=""/>
    <s v=""/>
    <s v=""/>
    <s v=""/>
    <s v="371616Newsletter Recipient"/>
    <m/>
    <x v="0"/>
  </r>
  <r>
    <n v="44047162"/>
    <b v="0"/>
    <b v="0"/>
    <b v="0"/>
    <b v="1"/>
    <b v="0"/>
    <b v="1"/>
    <b v="1"/>
    <b v="0"/>
    <b v="0"/>
    <n v="0"/>
    <n v="0"/>
    <m/>
    <d v="2018-03-02T00:00:00"/>
    <n v="32127162"/>
    <d v="2018-03-02T00:00:00"/>
    <m/>
    <m/>
    <s v=""/>
    <b v="0"/>
    <m/>
    <m/>
    <d v="2018-03-02T00:00:00"/>
    <m/>
    <n v="791522"/>
    <b v="1"/>
    <m/>
    <d v="2018-03-02T00:00:00"/>
    <m/>
    <x v="0"/>
    <b v="1"/>
    <n v="44047162"/>
    <s v="Patricia"/>
    <s v="Borrowdale"/>
    <s v="Pediatric Health Associates"/>
    <s v=""/>
    <s v=""/>
    <s v="pborrowdale@pedhealth.net"/>
    <s v=""/>
    <s v=""/>
    <s v=""/>
    <s v=""/>
    <s v=""/>
    <s v=""/>
    <s v=""/>
    <s v=""/>
    <s v=""/>
    <s v=""/>
    <s v=""/>
    <s v=""/>
    <s v=""/>
    <s v=""/>
    <s v=""/>
    <s v=""/>
    <s v="371616Newsletter Recipient"/>
    <m/>
    <x v="0"/>
  </r>
  <r>
    <n v="46436630"/>
    <b v="0"/>
    <b v="0"/>
    <b v="0"/>
    <b v="1"/>
    <b v="0"/>
    <b v="1"/>
    <b v="1"/>
    <b v="0"/>
    <b v="0"/>
    <n v="0"/>
    <n v="0"/>
    <m/>
    <d v="2018-06-21T00:00:00"/>
    <n v="32127162"/>
    <d v="2018-06-21T00:00:00"/>
    <m/>
    <m/>
    <s v=""/>
    <b v="0"/>
    <m/>
    <m/>
    <d v="2018-06-21T00:00:00"/>
    <m/>
    <n v="791522"/>
    <b v="1"/>
    <m/>
    <d v="2018-06-21T00:00:00"/>
    <m/>
    <x v="0"/>
    <b v="1"/>
    <n v="46436630"/>
    <s v="Mina"/>
    <s v="Boruta"/>
    <s v="Merck"/>
    <s v=""/>
    <s v=""/>
    <s v="jasmina.ristev@merck.com"/>
    <s v=""/>
    <s v=""/>
    <s v=""/>
    <s v=""/>
    <s v=""/>
    <s v=""/>
    <s v=""/>
    <s v="Merck"/>
    <s v=""/>
    <s v=""/>
    <s v=""/>
    <s v=""/>
    <s v=""/>
    <s v=""/>
    <s v=""/>
    <s v=""/>
    <s v="371616Newsletter Recipient"/>
    <m/>
    <x v="0"/>
  </r>
  <r>
    <n v="43835595"/>
    <b v="0"/>
    <b v="0"/>
    <b v="0"/>
    <b v="1"/>
    <b v="0"/>
    <b v="1"/>
    <b v="1"/>
    <b v="0"/>
    <b v="0"/>
    <n v="0"/>
    <n v="0"/>
    <m/>
    <d v="2018-06-21T00:00:00"/>
    <n v="32127162"/>
    <d v="2018-02-19T00:00:00"/>
    <m/>
    <m/>
    <s v=""/>
    <b v="0"/>
    <m/>
    <m/>
    <d v="2018-02-19T00:00:00"/>
    <m/>
    <n v="791522"/>
    <b v="1"/>
    <m/>
    <d v="2018-02-19T00:00:00"/>
    <m/>
    <x v="0"/>
    <b v="1"/>
    <n v="43835595"/>
    <s v="Cynthia"/>
    <s v="Bostic"/>
    <s v="The Fort Armstrong"/>
    <s v=""/>
    <s v=""/>
    <s v="cynthia@fortarmstrong.com"/>
    <s v=""/>
    <s v="L."/>
    <s v=""/>
    <s v=""/>
    <s v=""/>
    <s v=""/>
    <s v=""/>
    <s v="The Fort Armstrong"/>
    <s v=""/>
    <s v=""/>
    <s v=""/>
    <s v=""/>
    <s v=""/>
    <s v=""/>
    <s v=""/>
    <s v=""/>
    <s v="371616Newsletter Recipient"/>
    <m/>
    <x v="0"/>
  </r>
  <r>
    <n v="44026941"/>
    <b v="0"/>
    <b v="0"/>
    <b v="0"/>
    <b v="1"/>
    <b v="0"/>
    <b v="1"/>
    <b v="1"/>
    <b v="0"/>
    <b v="0"/>
    <n v="0"/>
    <n v="0"/>
    <m/>
    <d v="2018-05-09T00:00:00"/>
    <n v="32127162"/>
    <d v="2018-03-02T00:00:00"/>
    <m/>
    <m/>
    <s v=""/>
    <b v="0"/>
    <m/>
    <m/>
    <d v="2018-03-01T00:00:00"/>
    <m/>
    <n v="791522"/>
    <b v="1"/>
    <m/>
    <d v="2018-03-02T00:00:00"/>
    <m/>
    <x v="0"/>
    <b v="1"/>
    <n v="44026941"/>
    <s v="Lamont"/>
    <s v="Boswell"/>
    <s v="IlliniCare Health"/>
    <s v=""/>
    <s v=""/>
    <s v="lboswell@illinicare.com"/>
    <s v="630.655.7961"/>
    <s v=""/>
    <s v=""/>
    <s v=""/>
    <s v=""/>
    <s v=""/>
    <s v=""/>
    <s v=""/>
    <s v=""/>
    <s v=""/>
    <s v=""/>
    <s v=""/>
    <s v=""/>
    <s v=""/>
    <s v=""/>
    <s v=""/>
    <s v="336131Children's Services - Care Coordination"/>
    <s v="10633527Care Coordination"/>
    <x v="0"/>
  </r>
  <r>
    <n v="37822790"/>
    <b v="0"/>
    <b v="0"/>
    <b v="0"/>
    <b v="1"/>
    <b v="0"/>
    <b v="1"/>
    <b v="1"/>
    <b v="0"/>
    <b v="0"/>
    <n v="0"/>
    <n v="0"/>
    <m/>
    <d v="2017-02-24T00:00:00"/>
    <n v="32127162"/>
    <d v="2017-02-24T00:00:00"/>
    <m/>
    <m/>
    <s v=""/>
    <b v="0"/>
    <m/>
    <m/>
    <d v="2017-02-24T00:00:00"/>
    <m/>
    <n v="791522"/>
    <b v="1"/>
    <m/>
    <m/>
    <m/>
    <x v="0"/>
    <b v="1"/>
    <n v="37822790"/>
    <s v="John"/>
    <s v="Bouman"/>
    <s v="Shriver"/>
    <s v=""/>
    <s v=""/>
    <s v="johnbouman@povertylaw.org"/>
    <s v=""/>
    <s v=""/>
    <s v=""/>
    <s v=""/>
    <s v=""/>
    <s v=""/>
    <s v=""/>
    <s v=""/>
    <s v=""/>
    <s v=""/>
    <s v=""/>
    <s v=""/>
    <s v=""/>
    <s v=""/>
    <s v=""/>
    <s v=""/>
    <s v="371616Newsletter Recipient"/>
    <m/>
    <x v="0"/>
  </r>
  <r>
    <n v="37778133"/>
    <b v="0"/>
    <b v="0"/>
    <b v="0"/>
    <b v="1"/>
    <b v="0"/>
    <b v="1"/>
    <b v="1"/>
    <b v="0"/>
    <b v="0"/>
    <n v="0"/>
    <n v="0"/>
    <m/>
    <d v="2017-02-24T00:00:00"/>
    <n v="32127162"/>
    <d v="2017-02-20T00:00:00"/>
    <m/>
    <m/>
    <s v=""/>
    <b v="0"/>
    <m/>
    <m/>
    <d v="2017-02-20T00:00:00"/>
    <m/>
    <n v="791522"/>
    <b v="1"/>
    <m/>
    <m/>
    <m/>
    <x v="0"/>
    <b v="1"/>
    <n v="37778133"/>
    <s v="Avery"/>
    <s v="Bourne"/>
    <s v="Illinois General Assembly"/>
    <s v=""/>
    <s v="Representative Avery Bourne (R)_x000a_95th District_x0009_ _x0009__x000a__x000a_Springfield Office:_x000a_227-N Stratton Office Building_x000a_Springfield, IL   62706_x000a_(217) 782-8071_x000a_(217) 782-1336 FAX_x000a__x000a_District Office:_x000a_301 N. Monroe_x000a_Litchfield, IL  62056_x000a_(217) 324-5200_x000a_(217) 324-5201 FAX"/>
    <s v="bourne@ilhousegop.org"/>
    <s v=""/>
    <s v=""/>
    <s v=""/>
    <s v=""/>
    <s v=""/>
    <s v=""/>
    <s v=""/>
    <s v=""/>
    <s v=""/>
    <s v=""/>
    <s v=""/>
    <s v=""/>
    <s v=""/>
    <s v=""/>
    <s v=""/>
    <s v=""/>
    <s v="371616Newsletter Recipient, 371627House of Representatives"/>
    <m/>
    <x v="0"/>
  </r>
  <r>
    <n v="37818897"/>
    <b v="0"/>
    <b v="0"/>
    <b v="0"/>
    <b v="1"/>
    <b v="0"/>
    <b v="1"/>
    <b v="1"/>
    <b v="0"/>
    <b v="0"/>
    <n v="0"/>
    <n v="0"/>
    <m/>
    <d v="2017-02-24T00:00:00"/>
    <n v="32127162"/>
    <d v="2017-02-24T00:00:00"/>
    <m/>
    <m/>
    <s v=""/>
    <b v="0"/>
    <m/>
    <m/>
    <d v="2017-02-23T00:00:00"/>
    <m/>
    <n v="791522"/>
    <b v="1"/>
    <m/>
    <m/>
    <m/>
    <x v="0"/>
    <b v="1"/>
    <n v="37818897"/>
    <s v="Judy"/>
    <s v="Bowlby"/>
    <s v="LIBERTY Dental Plan"/>
    <s v=""/>
    <s v=""/>
    <s v=""/>
    <s v=""/>
    <s v=""/>
    <s v=""/>
    <s v=""/>
    <s v=""/>
    <s v=""/>
    <s v=""/>
    <s v=""/>
    <s v="Senior Manager of Government Programs"/>
    <s v=""/>
    <s v=""/>
    <s v=""/>
    <s v=""/>
    <s v=""/>
    <s v=""/>
    <s v=""/>
    <s v="371616Newsletter Recipient"/>
    <m/>
    <x v="0"/>
  </r>
  <r>
    <n v="37822858"/>
    <b v="0"/>
    <b v="0"/>
    <b v="0"/>
    <b v="1"/>
    <b v="0"/>
    <b v="1"/>
    <b v="1"/>
    <b v="0"/>
    <b v="0"/>
    <n v="0"/>
    <n v="0"/>
    <m/>
    <d v="2017-02-24T00:00:00"/>
    <n v="32127162"/>
    <d v="2017-02-24T00:00:00"/>
    <m/>
    <m/>
    <s v=""/>
    <b v="0"/>
    <m/>
    <m/>
    <d v="2017-02-24T00:00:00"/>
    <m/>
    <n v="791522"/>
    <b v="1"/>
    <m/>
    <m/>
    <m/>
    <x v="0"/>
    <b v="1"/>
    <n v="37822858"/>
    <s v="Graham"/>
    <s v="Bowman"/>
    <s v=""/>
    <s v=""/>
    <s v=""/>
    <s v="graham@chicagohomeless.org"/>
    <s v=""/>
    <s v=""/>
    <s v=""/>
    <s v=""/>
    <s v=""/>
    <s v=""/>
    <s v=""/>
    <s v=""/>
    <s v=""/>
    <s v=""/>
    <s v=""/>
    <s v=""/>
    <s v=""/>
    <s v=""/>
    <s v=""/>
    <s v=""/>
    <s v="371616Newsletter Recipient"/>
    <m/>
    <x v="0"/>
  </r>
  <r>
    <n v="43725224"/>
    <b v="0"/>
    <b v="0"/>
    <b v="0"/>
    <b v="1"/>
    <b v="0"/>
    <b v="1"/>
    <b v="1"/>
    <b v="0"/>
    <b v="0"/>
    <n v="0"/>
    <n v="0"/>
    <m/>
    <d v="2018-02-12T00:00:00"/>
    <n v="32127162"/>
    <d v="2018-02-12T00:00:00"/>
    <m/>
    <m/>
    <s v=""/>
    <b v="0"/>
    <m/>
    <m/>
    <d v="2018-02-12T00:00:00"/>
    <m/>
    <n v="791522"/>
    <b v="1"/>
    <m/>
    <d v="2018-02-12T00:00:00"/>
    <m/>
    <x v="0"/>
    <b v="1"/>
    <n v="43725224"/>
    <s v="Lauren"/>
    <s v="Bowman"/>
    <s v="Blue Cross Blue Shield of Illinois"/>
    <s v=""/>
    <s v=""/>
    <s v="lauren_bowman@bcbsil.com"/>
    <s v=""/>
    <s v=""/>
    <s v=""/>
    <s v=""/>
    <s v=""/>
    <s v=""/>
    <s v=""/>
    <s v=""/>
    <s v=""/>
    <s v=""/>
    <s v=""/>
    <s v=""/>
    <s v=""/>
    <s v=""/>
    <s v=""/>
    <s v=""/>
    <s v="371616Newsletter Recipient"/>
    <m/>
    <x v="0"/>
  </r>
  <r>
    <n v="43487247"/>
    <b v="0"/>
    <b v="0"/>
    <b v="0"/>
    <b v="1"/>
    <b v="0"/>
    <b v="1"/>
    <b v="1"/>
    <b v="0"/>
    <b v="0"/>
    <n v="0"/>
    <n v="0"/>
    <m/>
    <d v="2018-03-22T00:00:00"/>
    <n v="32127162"/>
    <d v="2018-01-29T00:00:00"/>
    <m/>
    <m/>
    <s v=""/>
    <b v="0"/>
    <m/>
    <m/>
    <d v="2018-01-28T00:00:00"/>
    <m/>
    <n v="791522"/>
    <b v="1"/>
    <m/>
    <d v="2018-01-29T00:00:00"/>
    <m/>
    <x v="0"/>
    <b v="1"/>
    <n v="43487247"/>
    <s v="Peter"/>
    <s v="Bowse"/>
    <s v="Blue Cross Blue Shield of Illinois"/>
    <s v=""/>
    <s v=""/>
    <s v="Peter_Bowse@bcbsil.com"/>
    <s v="(312) 653-7440"/>
    <s v=""/>
    <s v=""/>
    <s v=""/>
    <s v=""/>
    <s v=""/>
    <s v=""/>
    <s v=""/>
    <s v=""/>
    <s v=""/>
    <s v=""/>
    <s v=""/>
    <s v=""/>
    <s v=""/>
    <s v=""/>
    <s v=""/>
    <s v="371616Newsletter Recipient, 420926Dental - Contracts, 420927Dental - Claims &amp; Billing, 420928Dental - Care Coordination, 420963Vision - Contracts, 420964Vision - Claims &amp; Billing, 420965Vision - Care Coordination, 420967Transportation - Contracts, 420968Transportation - Claims &amp; Billing, 420969Transportation - Care Coordination"/>
    <s v="10633525Contracts, 10633526Claims/Billing, 10633527Care Coordination"/>
    <x v="0"/>
  </r>
  <r>
    <n v="34087252"/>
    <b v="0"/>
    <b v="0"/>
    <b v="0"/>
    <b v="1"/>
    <b v="0"/>
    <b v="1"/>
    <b v="1"/>
    <b v="0"/>
    <b v="0"/>
    <n v="0"/>
    <n v="0"/>
    <m/>
    <d v="2018-05-29T00:00:00"/>
    <n v="32127162"/>
    <d v="2016-08-29T00:00:00"/>
    <m/>
    <m/>
    <s v=""/>
    <b v="0"/>
    <m/>
    <m/>
    <d v="2016-08-29T00:00:00"/>
    <m/>
    <n v="791522"/>
    <b v="1"/>
    <m/>
    <m/>
    <m/>
    <x v="0"/>
    <b v="1"/>
    <n v="34087252"/>
    <s v="Karen"/>
    <s v="Brach"/>
    <s v="Meridian Health Plan"/>
    <s v=""/>
    <s v=""/>
    <s v="Karen.Brach@mhplan.com"/>
    <s v="312-980-2374"/>
    <s v=""/>
    <s v=""/>
    <s v=""/>
    <s v=""/>
    <s v=""/>
    <s v=""/>
    <s v=""/>
    <s v=""/>
    <s v=""/>
    <s v=""/>
    <s v=""/>
    <s v=""/>
    <s v=""/>
    <s v=""/>
    <s v=""/>
    <s v="335741Chief Executive Officer, 371616Newsletter Recipient, 372293Quality Committee, 372294Finance Committee, 372295Board of Directors/General Distribution List, 372296Legislative Committee, 372297Operations Committee, 372312IHA-IAMHP Working Group, 3767711115 Workgroup, 420889Executive Committee, 420911IAMHP Leadership, 428250Hospital Assessment, 428788Pharmacy Director Committee, 447857HFS Ops Workgroup"/>
    <m/>
    <x v="0"/>
  </r>
  <r>
    <n v="37778140"/>
    <b v="0"/>
    <b v="0"/>
    <b v="0"/>
    <b v="1"/>
    <b v="0"/>
    <b v="1"/>
    <b v="1"/>
    <b v="0"/>
    <b v="0"/>
    <n v="0"/>
    <n v="0"/>
    <m/>
    <d v="2017-02-24T00:00:00"/>
    <n v="32127162"/>
    <d v="2017-02-20T00:00:00"/>
    <m/>
    <m/>
    <s v=""/>
    <b v="0"/>
    <m/>
    <m/>
    <d v="2017-02-20T00:00:00"/>
    <m/>
    <n v="791522"/>
    <b v="1"/>
    <m/>
    <m/>
    <m/>
    <x v="0"/>
    <b v="1"/>
    <n v="37778140"/>
    <s v="Dan"/>
    <s v="Brady"/>
    <s v="Illinois General Assembly"/>
    <s v=""/>
    <s v="Representative Dan Brady (R)_x000a_105th District_x000a_Deputy Republican Leader_x000a__x000a_Photograph of  Representative  Dan Brady (R)_x0009_ _x0009__x000a__x000a_Springfield Office:_x000a_314 Capitol Building_x000a_Springfield, IL   62706_x000a_(217) 782-1118_x000a__x000a_District Office:_x000a_104 W. North Street_x000a_Normal, IL  61761_x000a_(309) 662-1100_x000a_(309) 662-1150 FAX"/>
    <s v="dan@rep-danbrady.com"/>
    <s v=""/>
    <s v=""/>
    <s v=""/>
    <s v=""/>
    <s v=""/>
    <s v=""/>
    <s v=""/>
    <s v=""/>
    <s v=""/>
    <s v=""/>
    <s v=""/>
    <s v=""/>
    <s v=""/>
    <s v=""/>
    <s v=""/>
    <s v=""/>
    <s v="371616Newsletter Recipient, 371627House of Representatives"/>
    <m/>
    <x v="0"/>
  </r>
  <r>
    <n v="46436579"/>
    <b v="0"/>
    <b v="0"/>
    <b v="0"/>
    <b v="1"/>
    <b v="0"/>
    <b v="1"/>
    <b v="1"/>
    <b v="0"/>
    <b v="0"/>
    <n v="0"/>
    <n v="0"/>
    <m/>
    <d v="2018-06-21T00:00:00"/>
    <n v="32127162"/>
    <d v="2018-06-21T00:00:00"/>
    <m/>
    <m/>
    <s v=""/>
    <b v="0"/>
    <m/>
    <m/>
    <d v="2018-06-21T00:00:00"/>
    <m/>
    <n v="791522"/>
    <b v="1"/>
    <m/>
    <d v="2018-06-21T00:00:00"/>
    <m/>
    <x v="0"/>
    <b v="1"/>
    <n v="46436579"/>
    <s v="Deb"/>
    <s v="Brady"/>
    <s v="Seasons Hospice &amp; Palliative Care"/>
    <s v=""/>
    <s v=""/>
    <s v="dbrady@seasons.org"/>
    <s v=""/>
    <s v=""/>
    <s v=""/>
    <s v=""/>
    <s v=""/>
    <s v=""/>
    <s v=""/>
    <s v="Seasons Hospice &amp; Palliative Care"/>
    <s v=""/>
    <s v=""/>
    <s v=""/>
    <s v=""/>
    <s v=""/>
    <s v=""/>
    <s v=""/>
    <s v=""/>
    <s v="371616Newsletter Recipient"/>
    <m/>
    <x v="0"/>
  </r>
  <r>
    <n v="37770411"/>
    <b v="0"/>
    <b v="0"/>
    <b v="0"/>
    <b v="1"/>
    <b v="0"/>
    <b v="1"/>
    <b v="1"/>
    <b v="0"/>
    <b v="0"/>
    <n v="0"/>
    <n v="0"/>
    <m/>
    <d v="2017-02-24T00:00:00"/>
    <n v="32127162"/>
    <d v="2017-02-20T00:00:00"/>
    <m/>
    <m/>
    <s v=""/>
    <b v="0"/>
    <m/>
    <m/>
    <d v="2017-02-20T00:00:00"/>
    <m/>
    <n v="791522"/>
    <b v="1"/>
    <m/>
    <m/>
    <m/>
    <x v="0"/>
    <b v="1"/>
    <n v="37770411"/>
    <s v="William"/>
    <s v="Brady"/>
    <s v="Illinois General Assembly"/>
    <s v="Senator"/>
    <s v="Senator William E. Brady (R)_x000a_44th District_x000a_Deputy Republican Leader_x0009_ _x0009__x000a__x000a_Springfield Office:_x000a_Senator 44th District_x000a_103B Capitol Building_x000a_Springfield, IL   62706_x000a_(217) 782-6216_x000a_(217) 782-4079 FAX_x000a_ _x000a_District Office:_x000a_2203 Eastland Drive_x000a_Suite 3_x000a_Bloomington, IL  61704_x000a_(309) 664-4440_x000a_(309) 664-8544 FAX"/>
    <s v="billbrady@senatorbillbrady.com"/>
    <s v=""/>
    <s v=""/>
    <s v=""/>
    <s v=""/>
    <s v=""/>
    <s v="(217) 782-6216"/>
    <s v=""/>
    <s v=""/>
    <s v=""/>
    <s v=""/>
    <s v=""/>
    <s v=""/>
    <s v=""/>
    <s v=""/>
    <s v=""/>
    <s v=""/>
    <s v="371609Senator, 371616Newsletter Recipient"/>
    <m/>
    <x v="0"/>
  </r>
  <r>
    <n v="37822547"/>
    <b v="0"/>
    <b v="0"/>
    <b v="0"/>
    <b v="1"/>
    <b v="0"/>
    <b v="1"/>
    <b v="1"/>
    <b v="0"/>
    <b v="0"/>
    <n v="0"/>
    <n v="0"/>
    <m/>
    <d v="2017-02-24T00:00:00"/>
    <n v="32127162"/>
    <d v="2017-02-24T00:00:00"/>
    <m/>
    <m/>
    <s v=""/>
    <b v="0"/>
    <m/>
    <m/>
    <d v="2017-02-24T00:00:00"/>
    <m/>
    <n v="791522"/>
    <b v="1"/>
    <m/>
    <m/>
    <m/>
    <x v="0"/>
    <b v="1"/>
    <n v="37822547"/>
    <s v="Jason"/>
    <s v="Branch"/>
    <s v=""/>
    <s v=""/>
    <s v=""/>
    <s v="jbranch@addus.com"/>
    <s v=""/>
    <s v=""/>
    <s v=""/>
    <s v=""/>
    <s v=""/>
    <s v=""/>
    <s v=""/>
    <s v=""/>
    <s v=""/>
    <s v=""/>
    <s v=""/>
    <s v=""/>
    <s v=""/>
    <s v=""/>
    <s v=""/>
    <s v=""/>
    <s v="371616Newsletter Recipient"/>
    <m/>
    <x v="0"/>
  </r>
  <r>
    <n v="43482208"/>
    <b v="0"/>
    <b v="0"/>
    <b v="0"/>
    <b v="1"/>
    <b v="0"/>
    <b v="1"/>
    <b v="1"/>
    <b v="0"/>
    <b v="0"/>
    <n v="0"/>
    <n v="0"/>
    <m/>
    <d v="2018-01-28T00:00:00"/>
    <n v="32127162"/>
    <d v="2018-01-28T00:00:00"/>
    <m/>
    <m/>
    <s v=""/>
    <b v="0"/>
    <m/>
    <m/>
    <d v="2018-01-28T00:00:00"/>
    <m/>
    <n v="791522"/>
    <b v="1"/>
    <m/>
    <d v="2018-01-28T00:00:00"/>
    <m/>
    <x v="0"/>
    <b v="1"/>
    <n v="43482208"/>
    <s v="Terry"/>
    <s v="Braune"/>
    <s v="McHenry County Mental Health Board"/>
    <s v=""/>
    <s v=""/>
    <s v="tbraune@mc708.org"/>
    <s v=""/>
    <s v=""/>
    <s v=""/>
    <s v=""/>
    <s v=""/>
    <s v=""/>
    <s v=""/>
    <s v=""/>
    <s v=""/>
    <s v=""/>
    <s v=""/>
    <s v=""/>
    <s v=""/>
    <s v=""/>
    <s v=""/>
    <s v=""/>
    <s v="371616Newsletter Recipient"/>
    <m/>
    <x v="0"/>
  </r>
  <r>
    <n v="39349674"/>
    <b v="0"/>
    <b v="0"/>
    <b v="0"/>
    <b v="1"/>
    <b v="0"/>
    <b v="1"/>
    <b v="1"/>
    <b v="0"/>
    <b v="0"/>
    <n v="0"/>
    <n v="0"/>
    <m/>
    <d v="2018-05-29T00:00:00"/>
    <n v="32127162"/>
    <d v="2017-06-16T00:00:00"/>
    <m/>
    <m/>
    <s v=""/>
    <b v="0"/>
    <m/>
    <m/>
    <d v="2017-06-16T00:00:00"/>
    <m/>
    <n v="791522"/>
    <b v="1"/>
    <m/>
    <m/>
    <m/>
    <x v="0"/>
    <b v="1"/>
    <n v="39349674"/>
    <s v="Danielle"/>
    <s v="Brazee"/>
    <s v="Molina Healthcare of Illinois, Inc."/>
    <s v=""/>
    <s v=""/>
    <s v="dabrazee@tmghealth.com"/>
    <s v=""/>
    <s v=""/>
    <s v=""/>
    <s v=""/>
    <s v=""/>
    <s v=""/>
    <s v=""/>
    <s v=""/>
    <s v=""/>
    <s v=""/>
    <s v=""/>
    <s v=""/>
    <s v=""/>
    <s v=""/>
    <s v=""/>
    <s v=""/>
    <s v="371616Newsletter Recipient, 372297Operations Committee, 443814Billing Working Group, 447857HFS Ops Workgroup"/>
    <m/>
    <x v="0"/>
  </r>
  <r>
    <n v="37778147"/>
    <b v="0"/>
    <b v="0"/>
    <b v="0"/>
    <b v="1"/>
    <b v="0"/>
    <b v="1"/>
    <b v="0"/>
    <b v="0"/>
    <b v="0"/>
    <n v="0"/>
    <n v="0"/>
    <m/>
    <d v="2017-02-24T00:00:00"/>
    <n v="32127162"/>
    <d v="2017-02-20T00:00:00"/>
    <m/>
    <m/>
    <s v=""/>
    <b v="0"/>
    <m/>
    <m/>
    <d v="2017-02-20T00:00:00"/>
    <m/>
    <n v="791522"/>
    <b v="1"/>
    <m/>
    <m/>
    <m/>
    <x v="0"/>
    <b v="1"/>
    <n v="37778147"/>
    <s v="Peter"/>
    <s v="Breen"/>
    <s v="Illinois General Assembly"/>
    <s v=""/>
    <s v="Representative Peter Breen (R)_x000a_48th District_x0009_ _x0009__x000a__x000a_Springfield Office:_x000a_210-N Stratton Office Building_x000a_Springfield, IL   62706_x000a_(217) 782-8037_x000a__x000a_District Office:_x000a_929 S. Main St._x000a_Suite 105A_x000a_Lombard, IL  60148_x000a_(630) 403-8135"/>
    <s v="peter@reppeterbreen.org"/>
    <s v=""/>
    <s v=""/>
    <s v=""/>
    <s v=""/>
    <s v=""/>
    <s v=""/>
    <s v=""/>
    <s v=""/>
    <s v=""/>
    <s v=""/>
    <s v=""/>
    <s v=""/>
    <s v=""/>
    <s v=""/>
    <s v=""/>
    <s v=""/>
    <s v="371616Newsletter Recipient, 371627House of Representatives"/>
    <m/>
    <x v="0"/>
  </r>
  <r>
    <n v="34021540"/>
    <b v="0"/>
    <b v="0"/>
    <b v="0"/>
    <b v="1"/>
    <b v="0"/>
    <b v="1"/>
    <b v="1"/>
    <b v="0"/>
    <b v="0"/>
    <n v="0"/>
    <n v="0"/>
    <m/>
    <d v="2018-01-12T00:00:00"/>
    <n v="32127162"/>
    <d v="2016-08-22T00:00:00"/>
    <m/>
    <m/>
    <s v=""/>
    <b v="0"/>
    <m/>
    <m/>
    <d v="2016-08-22T00:00:00"/>
    <m/>
    <n v="791522"/>
    <b v="1"/>
    <m/>
    <m/>
    <m/>
    <x v="0"/>
    <b v="1"/>
    <n v="34021540"/>
    <s v="Christine"/>
    <s v="Breitzman"/>
    <s v="Community Care Alliance of Illinois (CCAI)"/>
    <s v=""/>
    <s v=""/>
    <s v="CBreitzman@myfhn.com"/>
    <s v="312-880-1625"/>
    <s v=""/>
    <s v=""/>
    <s v="CBreitzman2@myfhn.com"/>
    <s v=""/>
    <s v=""/>
    <s v=""/>
    <s v=""/>
    <s v=""/>
    <s v=""/>
    <s v=""/>
    <s v=""/>
    <s v=""/>
    <s v=""/>
    <s v=""/>
    <s v=""/>
    <m/>
    <m/>
    <x v="0"/>
  </r>
  <r>
    <n v="42832764"/>
    <b v="0"/>
    <b v="0"/>
    <b v="0"/>
    <b v="1"/>
    <b v="0"/>
    <b v="1"/>
    <b v="1"/>
    <b v="0"/>
    <b v="0"/>
    <n v="0"/>
    <n v="0"/>
    <m/>
    <d v="2018-02-12T00:00:00"/>
    <n v="32127162"/>
    <d v="2017-12-05T00:00:00"/>
    <m/>
    <m/>
    <s v=""/>
    <b v="0"/>
    <m/>
    <m/>
    <d v="2017-12-05T00:00:00"/>
    <m/>
    <n v="791522"/>
    <b v="1"/>
    <m/>
    <d v="2017-12-05T00:00:00"/>
    <m/>
    <x v="0"/>
    <b v="1"/>
    <n v="42832764"/>
    <s v="Roger"/>
    <s v="Brickell"/>
    <s v=""/>
    <s v=""/>
    <s v=""/>
    <s v="rbickel@freeborn.com"/>
    <s v=""/>
    <s v=""/>
    <s v=""/>
    <s v=""/>
    <s v=""/>
    <s v=""/>
    <s v=""/>
    <s v=""/>
    <s v=""/>
    <s v=""/>
    <s v=""/>
    <s v=""/>
    <s v=""/>
    <s v=""/>
    <s v=""/>
    <s v=""/>
    <s v="371616Newsletter Recipient, 372296Legislative Committee"/>
    <m/>
    <x v="0"/>
  </r>
  <r>
    <n v="37818919"/>
    <b v="0"/>
    <b v="0"/>
    <b v="0"/>
    <b v="1"/>
    <b v="0"/>
    <b v="1"/>
    <b v="1"/>
    <b v="0"/>
    <b v="0"/>
    <n v="0"/>
    <n v="0"/>
    <m/>
    <d v="2017-02-24T00:00:00"/>
    <n v="32127162"/>
    <d v="2017-02-24T00:00:00"/>
    <m/>
    <m/>
    <s v=""/>
    <b v="0"/>
    <m/>
    <m/>
    <d v="2017-02-23T00:00:00"/>
    <m/>
    <n v="791522"/>
    <b v="1"/>
    <m/>
    <m/>
    <m/>
    <x v="0"/>
    <b v="1"/>
    <n v="37818919"/>
    <s v="Debbie"/>
    <s v="Broadfield"/>
    <s v="Capitol Edge Consulting, LLC"/>
    <s v=""/>
    <s v=""/>
    <s v="debbie@capitoledge.com"/>
    <s v=""/>
    <s v=""/>
    <s v=""/>
    <s v=""/>
    <s v=""/>
    <s v=""/>
    <s v=""/>
    <s v=""/>
    <s v="Lobbyist"/>
    <s v=""/>
    <s v=""/>
    <s v=""/>
    <s v=""/>
    <s v=""/>
    <s v=""/>
    <s v=""/>
    <s v="371616Newsletter Recipient"/>
    <m/>
    <x v="0"/>
  </r>
  <r>
    <n v="41351716"/>
    <b v="0"/>
    <b v="0"/>
    <b v="1"/>
    <b v="1"/>
    <b v="0"/>
    <b v="1"/>
    <b v="1"/>
    <b v="0"/>
    <b v="0"/>
    <n v="0"/>
    <n v="0"/>
    <m/>
    <d v="2017-10-09T00:00:00"/>
    <n v="32127162"/>
    <d v="2017-09-03T00:00:00"/>
    <d v="2017-09-07T00:00:00"/>
    <m/>
    <s v=""/>
    <b v="0"/>
    <m/>
    <m/>
    <d v="2017-09-12T00:00:00"/>
    <m/>
    <n v="791522"/>
    <b v="1"/>
    <m/>
    <d v="2017-09-13T00:00:00"/>
    <m/>
    <x v="0"/>
    <b v="1"/>
    <n v="41351716"/>
    <s v="Cynthia"/>
    <s v="Brooks"/>
    <s v="Assured Wellness Health and Wellness Coaching"/>
    <s v="Certified Health Coach"/>
    <s v=""/>
    <s v="cindy@assuredwellness.com"/>
    <s v="708-300-2400"/>
    <s v=""/>
    <s v=""/>
    <s v="askorpian2@sbcglobal.net"/>
    <s v=""/>
    <s v=""/>
    <s v=""/>
    <s v=""/>
    <s v=""/>
    <s v=""/>
    <s v=""/>
    <s v=""/>
    <s v=""/>
    <s v=""/>
    <s v=""/>
    <s v=""/>
    <s v="371616Newsletter Recipient"/>
    <m/>
    <x v="0"/>
  </r>
  <r>
    <n v="37818923"/>
    <b v="0"/>
    <b v="0"/>
    <b v="0"/>
    <b v="1"/>
    <b v="0"/>
    <b v="1"/>
    <b v="1"/>
    <b v="0"/>
    <b v="0"/>
    <n v="0"/>
    <n v="0"/>
    <m/>
    <d v="2017-12-06T00:00:00"/>
    <n v="32127162"/>
    <d v="2017-02-24T00:00:00"/>
    <m/>
    <m/>
    <s v=""/>
    <b v="0"/>
    <m/>
    <m/>
    <d v="2017-02-23T00:00:00"/>
    <m/>
    <n v="791522"/>
    <b v="1"/>
    <m/>
    <m/>
    <m/>
    <x v="0"/>
    <b v="1"/>
    <n v="37818923"/>
    <s v="Ann"/>
    <s v="Brookshire"/>
    <s v="Molina Healthcare of Illinois, Inc."/>
    <s v=""/>
    <s v=""/>
    <s v=""/>
    <s v=""/>
    <s v=""/>
    <s v=""/>
    <s v=""/>
    <s v=""/>
    <s v=""/>
    <s v=""/>
    <s v=""/>
    <s v=""/>
    <s v=""/>
    <s v=""/>
    <s v=""/>
    <s v=""/>
    <s v=""/>
    <s v=""/>
    <s v=""/>
    <s v="371616Newsletter Recipient"/>
    <m/>
    <x v="0"/>
  </r>
  <r>
    <n v="37818926"/>
    <b v="0"/>
    <b v="0"/>
    <b v="0"/>
    <b v="1"/>
    <b v="0"/>
    <b v="1"/>
    <b v="1"/>
    <b v="0"/>
    <b v="0"/>
    <n v="0"/>
    <n v="0"/>
    <m/>
    <d v="2017-02-24T00:00:00"/>
    <n v="32127162"/>
    <d v="2017-02-24T00:00:00"/>
    <m/>
    <m/>
    <s v=""/>
    <b v="0"/>
    <m/>
    <m/>
    <d v="2017-02-23T00:00:00"/>
    <m/>
    <n v="791522"/>
    <b v="1"/>
    <m/>
    <m/>
    <m/>
    <x v="0"/>
    <b v="1"/>
    <n v="37818926"/>
    <s v="Deb"/>
    <s v="Brophy"/>
    <s v=""/>
    <s v=""/>
    <s v=""/>
    <s v="dbrophy@centene.com"/>
    <s v=""/>
    <s v=""/>
    <s v=""/>
    <s v=""/>
    <s v=""/>
    <s v=""/>
    <s v=""/>
    <s v=""/>
    <s v=""/>
    <s v=""/>
    <s v=""/>
    <s v=""/>
    <s v=""/>
    <s v=""/>
    <s v=""/>
    <s v=""/>
    <s v="371616Newsletter Recipient"/>
    <m/>
    <x v="0"/>
  </r>
  <r>
    <n v="34087551"/>
    <b v="0"/>
    <b v="0"/>
    <b v="0"/>
    <b v="1"/>
    <b v="0"/>
    <b v="1"/>
    <b v="1"/>
    <b v="0"/>
    <b v="0"/>
    <n v="0"/>
    <n v="0"/>
    <m/>
    <d v="2018-06-20T00:00:00"/>
    <n v="32127162"/>
    <d v="2016-08-29T00:00:00"/>
    <m/>
    <m/>
    <s v=""/>
    <b v="0"/>
    <m/>
    <m/>
    <d v="2016-08-29T00:00:00"/>
    <m/>
    <n v="791522"/>
    <b v="1"/>
    <m/>
    <m/>
    <m/>
    <x v="0"/>
    <b v="1"/>
    <n v="34087551"/>
    <s v="Octavia"/>
    <s v="Browder-Winston"/>
    <s v="NextLevel Health"/>
    <s v=""/>
    <s v="Octavia Browder-Winston"/>
    <s v="octavia.browder-winston@nlhpartners.com"/>
    <s v=""/>
    <s v=""/>
    <s v=""/>
    <s v=""/>
    <s v=""/>
    <s v=""/>
    <s v=""/>
    <s v="NextLevel Health"/>
    <s v=""/>
    <s v=""/>
    <s v=""/>
    <s v=""/>
    <s v=""/>
    <s v=""/>
    <s v=""/>
    <s v=""/>
    <s v="371616Newsletter Recipient, 372297Operations Committee, 372298Operations Transportation Subcommittee, 443814Billing Working Group, 447857HFS Ops Workgroup"/>
    <m/>
    <x v="0"/>
  </r>
  <r>
    <n v="37818930"/>
    <b v="0"/>
    <b v="0"/>
    <b v="0"/>
    <b v="1"/>
    <b v="0"/>
    <b v="1"/>
    <b v="1"/>
    <b v="0"/>
    <b v="0"/>
    <n v="0"/>
    <n v="0"/>
    <m/>
    <d v="2018-05-29T00:00:00"/>
    <n v="32127162"/>
    <d v="2017-02-24T00:00:00"/>
    <m/>
    <m/>
    <s v=""/>
    <b v="0"/>
    <m/>
    <m/>
    <d v="2017-02-23T00:00:00"/>
    <m/>
    <n v="791522"/>
    <b v="1"/>
    <m/>
    <m/>
    <m/>
    <x v="0"/>
    <b v="1"/>
    <n v="37818930"/>
    <s v="Fonya"/>
    <s v="Brown"/>
    <s v="Harmony Health Plan of Illinois - A WellCare Company"/>
    <s v=""/>
    <s v=""/>
    <s v="fonya.brown@wellcare.com"/>
    <s v=""/>
    <s v=""/>
    <s v=""/>
    <s v=""/>
    <s v=""/>
    <s v=""/>
    <s v=""/>
    <s v=""/>
    <s v=""/>
    <s v=""/>
    <s v=""/>
    <s v=""/>
    <s v=""/>
    <s v=""/>
    <s v=""/>
    <s v=""/>
    <s v="371616Newsletter Recipient, 372297Operations Committee, 447857HFS Ops Workgroup"/>
    <m/>
    <x v="0"/>
  </r>
  <r>
    <n v="44973483"/>
    <b v="0"/>
    <b v="0"/>
    <b v="0"/>
    <b v="1"/>
    <b v="0"/>
    <b v="1"/>
    <b v="1"/>
    <b v="0"/>
    <b v="0"/>
    <n v="0"/>
    <n v="0"/>
    <m/>
    <d v="2018-05-04T00:00:00"/>
    <n v="32127162"/>
    <d v="2018-05-04T00:00:00"/>
    <m/>
    <m/>
    <s v=""/>
    <b v="0"/>
    <m/>
    <m/>
    <d v="2018-05-04T00:00:00"/>
    <m/>
    <n v="791522"/>
    <b v="1"/>
    <m/>
    <d v="2018-05-04T00:00:00"/>
    <m/>
    <x v="0"/>
    <b v="1"/>
    <n v="44973483"/>
    <s v="Keyana"/>
    <s v="Brown"/>
    <s v="Harmony Health Plan of Illinois - A WellCare Company"/>
    <s v=""/>
    <s v=""/>
    <s v="keyana.brown@wellcare.com"/>
    <s v="312.516.5815"/>
    <s v=""/>
    <s v=""/>
    <s v=""/>
    <s v=""/>
    <s v=""/>
    <s v=""/>
    <s v=""/>
    <s v=""/>
    <s v=""/>
    <s v=""/>
    <s v=""/>
    <s v=""/>
    <s v=""/>
    <s v=""/>
    <s v=""/>
    <s v="335716Hospitals, 335723Physicians, 335726Mental Health, 335727Substance Use Disorder, 335728Hospice, 335729Home Health, 335730Durable Medical Equipment, 335731FQHC, 335734Public Health Department, 336130Children's Services, 371616Newsletter Recipient, 376714Methadone Treatment, 388565Community Mental Health"/>
    <s v="10633526Claims/Billing"/>
    <x v="0"/>
  </r>
  <r>
    <n v="42709564"/>
    <b v="0"/>
    <b v="0"/>
    <b v="1"/>
    <b v="1"/>
    <b v="0"/>
    <b v="1"/>
    <b v="1"/>
    <b v="0"/>
    <b v="0"/>
    <n v="0"/>
    <n v="0"/>
    <m/>
    <d v="2017-12-14T00:00:00"/>
    <n v="32127162"/>
    <d v="2017-11-21T00:00:00"/>
    <m/>
    <m/>
    <s v=""/>
    <b v="0"/>
    <m/>
    <m/>
    <d v="2017-12-08T00:00:00"/>
    <m/>
    <n v="791522"/>
    <b v="1"/>
    <m/>
    <d v="2017-12-08T00:00:00"/>
    <m/>
    <x v="0"/>
    <b v="1"/>
    <n v="42709564"/>
    <s v="Kim"/>
    <s v="Brown"/>
    <s v="Human Service Center of Southern Metro East"/>
    <s v="Director of Finance"/>
    <s v="Kimber Browne_x000a_Director of Finance_x000a_Human Service Center_x000a_10257 State Route 3_x000a_Red Bud, IL 62278_x000a_Tele: (618) 282-6233_x000a_Fax: (618) 282-6220_x000a_k.browne@humanservicegroup.com"/>
    <s v="k.browne@humanservicegroup.com"/>
    <s v="618-282-6233"/>
    <s v=""/>
    <s v=""/>
    <s v=""/>
    <s v=""/>
    <s v=""/>
    <s v=""/>
    <s v=""/>
    <s v=""/>
    <s v=""/>
    <s v=""/>
    <s v=""/>
    <s v=""/>
    <s v=""/>
    <s v=""/>
    <s v=""/>
    <s v="371616Newsletter Recipient"/>
    <m/>
    <x v="0"/>
  </r>
  <r>
    <n v="39528908"/>
    <b v="0"/>
    <b v="0"/>
    <b v="0"/>
    <b v="1"/>
    <b v="0"/>
    <b v="1"/>
    <b v="1"/>
    <b v="0"/>
    <b v="0"/>
    <n v="0"/>
    <n v="0"/>
    <m/>
    <d v="2018-01-29T00:00:00"/>
    <n v="32127162"/>
    <d v="2017-06-27T00:00:00"/>
    <m/>
    <m/>
    <s v=""/>
    <b v="0"/>
    <m/>
    <m/>
    <d v="2017-06-27T00:00:00"/>
    <m/>
    <n v="791522"/>
    <b v="1"/>
    <m/>
    <m/>
    <m/>
    <x v="0"/>
    <b v="1"/>
    <n v="39528908"/>
    <s v="Mashaunda"/>
    <s v="Brown"/>
    <s v="Blue Cross Blue Shield"/>
    <s v=""/>
    <s v=""/>
    <s v="Mashaunda_Brown@bcbsil.com"/>
    <s v="312-653-0681"/>
    <s v=""/>
    <s v=""/>
    <s v=""/>
    <s v=""/>
    <s v=""/>
    <s v=""/>
    <s v=""/>
    <s v=""/>
    <s v=""/>
    <s v=""/>
    <s v=""/>
    <s v=""/>
    <s v=""/>
    <s v=""/>
    <s v=""/>
    <s v="371616Newsletter Recipient"/>
    <m/>
    <x v="0"/>
  </r>
  <r>
    <n v="45120021"/>
    <b v="0"/>
    <b v="0"/>
    <b v="0"/>
    <b v="1"/>
    <b v="0"/>
    <b v="1"/>
    <b v="1"/>
    <b v="0"/>
    <b v="0"/>
    <n v="0"/>
    <n v="0"/>
    <m/>
    <d v="2018-05-18T00:00:00"/>
    <n v="32127162"/>
    <d v="2018-05-08T00:00:00"/>
    <m/>
    <m/>
    <s v=""/>
    <b v="0"/>
    <m/>
    <m/>
    <d v="2018-05-08T00:00:00"/>
    <m/>
    <n v="791522"/>
    <b v="1"/>
    <m/>
    <d v="2018-05-08T00:00:00"/>
    <m/>
    <x v="0"/>
    <b v="1"/>
    <n v="45120021"/>
    <s v="Tash"/>
    <s v="Brown"/>
    <s v="Harmony Health Plan of Illinois - A WellCare Company"/>
    <s v=""/>
    <s v=""/>
    <s v="tasha.brown1@wellcare.com"/>
    <s v=""/>
    <s v=""/>
    <s v=""/>
    <s v=""/>
    <s v=""/>
    <s v=""/>
    <s v=""/>
    <s v="Harmony Health Plan of Illinois - A WellCare Company"/>
    <s v="Director of Provider Relations"/>
    <s v=""/>
    <s v=""/>
    <s v=""/>
    <s v=""/>
    <s v=""/>
    <s v=""/>
    <s v=""/>
    <s v="335736Provider Relations - Committee Members, 371616Newsletter Recipient, 443814Billing Working Group"/>
    <m/>
    <x v="0"/>
  </r>
  <r>
    <n v="34033670"/>
    <b v="0"/>
    <b v="0"/>
    <b v="0"/>
    <b v="1"/>
    <b v="0"/>
    <b v="1"/>
    <b v="1"/>
    <b v="0"/>
    <b v="0"/>
    <n v="0"/>
    <n v="0"/>
    <m/>
    <d v="2017-02-24T00:00:00"/>
    <n v="32127162"/>
    <d v="2016-08-23T00:00:00"/>
    <m/>
    <m/>
    <s v=""/>
    <b v="0"/>
    <m/>
    <m/>
    <d v="2016-08-23T00:00:00"/>
    <m/>
    <n v="791522"/>
    <b v="1"/>
    <m/>
    <m/>
    <m/>
    <x v="0"/>
    <b v="1"/>
    <n v="34033670"/>
    <s v="Michele"/>
    <s v="Bryant"/>
    <s v="Humana"/>
    <s v=""/>
    <s v=""/>
    <s v="MBryant4@humana.com"/>
    <s v="312-441-5051"/>
    <s v=""/>
    <s v=""/>
    <s v=""/>
    <s v=""/>
    <s v=""/>
    <s v=""/>
    <s v=""/>
    <s v=""/>
    <s v=""/>
    <s v=""/>
    <s v=""/>
    <s v=""/>
    <s v=""/>
    <s v=""/>
    <s v=""/>
    <s v="371616Newsletter Recipient"/>
    <m/>
    <x v="0"/>
  </r>
  <r>
    <n v="37778566"/>
    <b v="0"/>
    <b v="0"/>
    <b v="0"/>
    <b v="1"/>
    <b v="0"/>
    <b v="1"/>
    <b v="1"/>
    <b v="0"/>
    <b v="0"/>
    <n v="0"/>
    <n v="0"/>
    <m/>
    <d v="2017-02-24T00:00:00"/>
    <n v="32127162"/>
    <d v="2017-02-20T00:00:00"/>
    <m/>
    <m/>
    <s v=""/>
    <b v="0"/>
    <m/>
    <m/>
    <d v="2017-02-20T00:00:00"/>
    <m/>
    <n v="791522"/>
    <b v="1"/>
    <m/>
    <m/>
    <m/>
    <x v="0"/>
    <b v="1"/>
    <n v="37778566"/>
    <s v="Terri"/>
    <s v="Bryant"/>
    <s v="Illinois General Assembly"/>
    <s v=""/>
    <s v="Representative Terri Bryant (R)_x000a_115th District_x000a__x000a_Photograph of  Representative  Terri Bryant (R)_x0009_ _x0009__x000a__x000a_Springfield Office:_x000a_207-N Stratton Office Building_x000a_Springfield, IL   62706_x000a_(217) 782-0387_x000a_(217) 782-1141 FAX_x000a__x000a_District Office:_x000a_2929 Broadway_x000a_Suite 3_x000a_Mt. Vernon, IL  62864_x000a_(618) 242-8115_x000a_(618) 242-8118 FAX_x000a__x000a__x000a_342 North Street_x000a_Suite C_x000a_Murphysboro, IL 62966_x000a_(618) 684-1100"/>
    <s v="staterepterribryant@gmail.com"/>
    <s v=""/>
    <s v=""/>
    <s v=""/>
    <s v=""/>
    <s v=""/>
    <s v=""/>
    <s v=""/>
    <s v=""/>
    <s v=""/>
    <s v=""/>
    <s v=""/>
    <s v=""/>
    <s v=""/>
    <s v=""/>
    <s v=""/>
    <s v=""/>
    <s v="371616Newsletter Recipient, 371627House of Representatives"/>
    <m/>
    <x v="0"/>
  </r>
  <r>
    <n v="34090219"/>
    <b v="0"/>
    <b v="0"/>
    <b v="0"/>
    <b v="1"/>
    <b v="0"/>
    <b v="1"/>
    <b v="1"/>
    <b v="0"/>
    <b v="0"/>
    <n v="0"/>
    <n v="0"/>
    <m/>
    <d v="2018-01-29T00:00:00"/>
    <n v="32127162"/>
    <d v="2016-08-29T00:00:00"/>
    <m/>
    <m/>
    <s v=""/>
    <b v="0"/>
    <m/>
    <m/>
    <d v="2016-08-29T00:00:00"/>
    <m/>
    <n v="791522"/>
    <b v="1"/>
    <m/>
    <m/>
    <m/>
    <x v="0"/>
    <b v="1"/>
    <n v="34090219"/>
    <s v="Shanquinnell"/>
    <s v="Bullock"/>
    <s v="Blue Cross Blue Shield of Illinois"/>
    <s v=""/>
    <s v="Claims"/>
    <s v="Shanquinnell_Bullock@bcbsil.com"/>
    <s v="312-653-2494"/>
    <s v=""/>
    <s v=""/>
    <s v=""/>
    <s v=""/>
    <s v=""/>
    <s v=""/>
    <s v=""/>
    <s v=""/>
    <s v=""/>
    <s v=""/>
    <s v=""/>
    <s v=""/>
    <s v=""/>
    <s v=""/>
    <s v=""/>
    <s v="371616Newsletter Recipient"/>
    <m/>
    <x v="0"/>
  </r>
  <r>
    <n v="37778666"/>
    <b v="0"/>
    <b v="0"/>
    <b v="0"/>
    <b v="1"/>
    <b v="0"/>
    <b v="1"/>
    <b v="1"/>
    <b v="0"/>
    <b v="0"/>
    <n v="0"/>
    <n v="0"/>
    <m/>
    <d v="2017-02-24T00:00:00"/>
    <n v="32127162"/>
    <d v="2017-02-20T00:00:00"/>
    <m/>
    <m/>
    <s v=""/>
    <b v="0"/>
    <m/>
    <m/>
    <d v="2017-02-20T00:00:00"/>
    <m/>
    <n v="791522"/>
    <b v="1"/>
    <m/>
    <m/>
    <m/>
    <x v="0"/>
    <b v="1"/>
    <n v="37778666"/>
    <s v="Kelly"/>
    <s v="Burke"/>
    <s v="Illinois General Assembly"/>
    <s v=""/>
    <s v="Representative Kelly M. Burke (D)_x000a_36th District _x0009__x000a__x000a_Springfield Office:_x000a_246-W Stratton Office Building_x000a_Springfield, IL   62706_x000a_(217) 782-0515_x000a_(217) 558-4553 FAX_x000a__x000a_District Office:_x000a_5144 W. 95th St._x000a_Oak Lawn, IL  60453_x000a_(708) 425-0571_x000a_(708) 425-0642 FAX"/>
    <s v="kburke@kellyburkerep36.org"/>
    <s v=""/>
    <s v=""/>
    <s v=""/>
    <s v=""/>
    <s v=""/>
    <s v=""/>
    <s v=""/>
    <s v=""/>
    <s v=""/>
    <s v=""/>
    <s v=""/>
    <s v=""/>
    <s v=""/>
    <s v=""/>
    <s v=""/>
    <s v=""/>
    <s v="371616Newsletter Recipient, 371627House of Representatives"/>
    <m/>
    <x v="0"/>
  </r>
  <r>
    <n v="37818942"/>
    <b v="0"/>
    <b v="0"/>
    <b v="1"/>
    <b v="1"/>
    <b v="0"/>
    <b v="1"/>
    <b v="1"/>
    <b v="0"/>
    <b v="0"/>
    <n v="0"/>
    <n v="0"/>
    <m/>
    <d v="2017-02-24T00:00:00"/>
    <n v="32127162"/>
    <d v="2017-02-24T00:00:00"/>
    <m/>
    <m/>
    <s v=""/>
    <b v="0"/>
    <m/>
    <m/>
    <d v="2017-02-23T00:00:00"/>
    <m/>
    <n v="791522"/>
    <b v="1"/>
    <m/>
    <m/>
    <m/>
    <x v="0"/>
    <b v="1"/>
    <n v="37818942"/>
    <s v="Kim"/>
    <s v="Burke"/>
    <s v="Lake County Health Department and Community Health Center"/>
    <s v=""/>
    <s v=""/>
    <s v="kburke@lakecountyil.gov"/>
    <s v=""/>
    <s v=""/>
    <s v=""/>
    <s v=""/>
    <s v=""/>
    <s v=""/>
    <s v=""/>
    <s v=""/>
    <s v="Director, Managed Care and Utilization Management"/>
    <s v=""/>
    <s v=""/>
    <s v=""/>
    <s v=""/>
    <s v=""/>
    <s v=""/>
    <s v=""/>
    <s v="371616Newsletter Recipient"/>
    <m/>
    <x v="0"/>
  </r>
  <r>
    <n v="43416160"/>
    <b v="0"/>
    <b v="0"/>
    <b v="0"/>
    <b v="1"/>
    <b v="0"/>
    <b v="1"/>
    <b v="1"/>
    <b v="0"/>
    <b v="0"/>
    <n v="0"/>
    <n v="0"/>
    <m/>
    <d v="2018-02-12T00:00:00"/>
    <n v="32127162"/>
    <d v="2018-01-22T00:00:00"/>
    <m/>
    <m/>
    <s v=""/>
    <b v="0"/>
    <m/>
    <m/>
    <d v="2018-01-22T00:00:00"/>
    <m/>
    <n v="791522"/>
    <b v="1"/>
    <m/>
    <d v="2018-01-22T00:00:00"/>
    <m/>
    <x v="0"/>
    <b v="1"/>
    <n v="43416160"/>
    <s v="Pat"/>
    <s v="Burke"/>
    <s v="Harmony Health Plan of Illinois - A WellCare Company"/>
    <s v=""/>
    <s v=""/>
    <s v="Pat.Burke@wellcare.com"/>
    <s v=""/>
    <s v=""/>
    <s v=""/>
    <s v=""/>
    <s v=""/>
    <s v=""/>
    <s v=""/>
    <s v=""/>
    <s v=""/>
    <s v=""/>
    <s v=""/>
    <s v=""/>
    <s v=""/>
    <s v=""/>
    <s v=""/>
    <s v=""/>
    <s v="335736Provider Relations - Committee Members, 371616Newsletter Recipient"/>
    <m/>
    <x v="0"/>
  </r>
  <r>
    <n v="46436639"/>
    <b v="0"/>
    <b v="0"/>
    <b v="0"/>
    <b v="1"/>
    <b v="0"/>
    <b v="1"/>
    <b v="1"/>
    <b v="0"/>
    <b v="0"/>
    <n v="0"/>
    <n v="0"/>
    <m/>
    <d v="2018-06-21T00:00:00"/>
    <n v="32127162"/>
    <d v="2018-06-21T00:00:00"/>
    <m/>
    <m/>
    <s v=""/>
    <b v="0"/>
    <m/>
    <m/>
    <d v="2018-06-21T00:00:00"/>
    <m/>
    <n v="791522"/>
    <b v="1"/>
    <m/>
    <d v="2018-06-21T00:00:00"/>
    <m/>
    <x v="0"/>
    <b v="1"/>
    <n v="46436639"/>
    <s v="Steve"/>
    <s v="Burke"/>
    <s v="Maxim Healthcare Services"/>
    <s v=""/>
    <s v=""/>
    <s v="stburke@maxhealth.com"/>
    <s v=""/>
    <s v=""/>
    <s v=""/>
    <s v=""/>
    <s v=""/>
    <s v=""/>
    <s v=""/>
    <s v="Maxim Healthcare Services"/>
    <s v=""/>
    <s v=""/>
    <s v=""/>
    <s v=""/>
    <s v=""/>
    <s v=""/>
    <s v=""/>
    <s v=""/>
    <s v="371616Newsletter Recipient"/>
    <m/>
    <x v="0"/>
  </r>
  <r>
    <n v="37818952"/>
    <b v="0"/>
    <b v="0"/>
    <b v="0"/>
    <b v="1"/>
    <b v="0"/>
    <b v="1"/>
    <b v="1"/>
    <b v="0"/>
    <b v="0"/>
    <n v="0"/>
    <n v="0"/>
    <m/>
    <d v="2017-02-24T00:00:00"/>
    <n v="32127162"/>
    <d v="2017-02-24T00:00:00"/>
    <m/>
    <m/>
    <s v=""/>
    <b v="0"/>
    <m/>
    <m/>
    <d v="2017-02-23T00:00:00"/>
    <m/>
    <n v="791522"/>
    <b v="1"/>
    <m/>
    <m/>
    <m/>
    <x v="0"/>
    <b v="1"/>
    <n v="37818952"/>
    <s v="James"/>
    <s v="Burns"/>
    <s v="The Kennedy Forum"/>
    <s v=""/>
    <s v=""/>
    <s v="james@thekennedyforum.org"/>
    <s v=""/>
    <s v=""/>
    <s v=""/>
    <s v=""/>
    <s v=""/>
    <s v=""/>
    <s v=""/>
    <s v=""/>
    <s v="Project Manager"/>
    <s v=""/>
    <s v=""/>
    <s v=""/>
    <s v=""/>
    <s v=""/>
    <s v=""/>
    <s v=""/>
    <s v="371616Newsletter Recipient"/>
    <m/>
    <x v="0"/>
  </r>
  <r>
    <n v="37770415"/>
    <b v="0"/>
    <b v="0"/>
    <b v="0"/>
    <b v="1"/>
    <b v="0"/>
    <b v="1"/>
    <b v="1"/>
    <b v="0"/>
    <b v="0"/>
    <n v="0"/>
    <n v="0"/>
    <m/>
    <d v="2017-02-24T00:00:00"/>
    <n v="32127162"/>
    <d v="2017-02-20T00:00:00"/>
    <m/>
    <m/>
    <s v=""/>
    <b v="0"/>
    <m/>
    <m/>
    <d v="2017-02-20T00:00:00"/>
    <m/>
    <n v="791522"/>
    <b v="1"/>
    <m/>
    <m/>
    <m/>
    <x v="0"/>
    <b v="1"/>
    <n v="37770415"/>
    <s v="Melinda"/>
    <s v="Bush"/>
    <s v="Illinois General Assembly"/>
    <s v="Senator"/>
    <s v="Senator Melinda Bush (D)_x000a_31st District_x0009_ _x0009__x000a__x000a_Springfield Office:_x000a_Senator 31st District_x000a_124 Capitol Building_x000a_Springfield, IL   62706_x000a_(217) 782-7353_x000a_(217) 782-2115 FAX_x000a_ _x000a_District Office:_x000a_10 North Lake Street_x000a_Suite 112_x000a_Grayslake, IL  60030_x000a_(847) 548-5631"/>
    <s v="melinda@senatormelindabush.com"/>
    <s v=""/>
    <s v=""/>
    <s v=""/>
    <s v=""/>
    <s v=""/>
    <s v="(217) 782-7353"/>
    <s v=""/>
    <s v=""/>
    <s v=""/>
    <s v=""/>
    <s v=""/>
    <s v=""/>
    <s v=""/>
    <s v=""/>
    <s v=""/>
    <s v=""/>
    <s v="371609Senator, 371616Newsletter Recipient"/>
    <m/>
    <x v="0"/>
  </r>
  <r>
    <n v="37778670"/>
    <b v="0"/>
    <b v="0"/>
    <b v="0"/>
    <b v="1"/>
    <b v="0"/>
    <b v="1"/>
    <b v="1"/>
    <b v="0"/>
    <b v="0"/>
    <n v="0"/>
    <n v="0"/>
    <m/>
    <d v="2017-02-24T00:00:00"/>
    <n v="32127162"/>
    <d v="2017-02-20T00:00:00"/>
    <m/>
    <m/>
    <s v=""/>
    <b v="0"/>
    <m/>
    <m/>
    <d v="2017-02-20T00:00:00"/>
    <m/>
    <n v="791522"/>
    <b v="1"/>
    <m/>
    <m/>
    <m/>
    <x v="0"/>
    <b v="1"/>
    <n v="37778670"/>
    <s v="Tim"/>
    <s v="Butler"/>
    <s v="Illinois General Assembly"/>
    <s v=""/>
    <s v="Representative Tim Butler (R)_x000a_87th District_x0009_ _x0009__x000a__x000a_Springfield Office:_x000a_1128-E Stratton Office Building_x000a_Springfield, IL   62706_x000a_(217) 782-0053_x000a__x000a_District Office:_x000a_1128-E Stratton Office Building_x000a_Springfield, IL  62706_x000a_(217) 782-0053"/>
    <s v="butler@ilhousegop.org"/>
    <s v=""/>
    <s v=""/>
    <s v=""/>
    <s v=""/>
    <s v=""/>
    <s v=""/>
    <s v=""/>
    <s v=""/>
    <s v=""/>
    <s v=""/>
    <s v=""/>
    <s v=""/>
    <s v=""/>
    <s v=""/>
    <s v=""/>
    <s v=""/>
    <s v="371616Newsletter Recipient, 371627House of Representatives"/>
    <m/>
    <x v="0"/>
  </r>
  <r>
    <n v="45124362"/>
    <b v="0"/>
    <b v="0"/>
    <b v="0"/>
    <b v="1"/>
    <b v="0"/>
    <b v="1"/>
    <b v="1"/>
    <b v="0"/>
    <b v="0"/>
    <n v="0"/>
    <n v="0"/>
    <m/>
    <d v="2018-05-08T00:00:00"/>
    <n v="32127162"/>
    <d v="2018-05-08T00:00:00"/>
    <m/>
    <m/>
    <s v=""/>
    <b v="0"/>
    <m/>
    <m/>
    <d v="2018-05-08T00:00:00"/>
    <m/>
    <n v="791522"/>
    <b v="1"/>
    <m/>
    <d v="2018-05-08T00:00:00"/>
    <m/>
    <x v="0"/>
    <b v="1"/>
    <n v="45124362"/>
    <s v="Daniel"/>
    <s v="Byars"/>
    <s v="CountyCare Health Plan"/>
    <s v=""/>
    <s v=""/>
    <s v="daniel.byars@cookcountyhhs.org"/>
    <s v=""/>
    <s v=""/>
    <s v=""/>
    <s v=""/>
    <s v=""/>
    <s v=""/>
    <s v=""/>
    <s v="CountyCare Health Plan"/>
    <s v=""/>
    <s v=""/>
    <s v=""/>
    <s v=""/>
    <s v=""/>
    <s v=""/>
    <s v=""/>
    <s v=""/>
    <s v="443813Discharge Planning"/>
    <m/>
    <x v="0"/>
  </r>
  <r>
    <n v="43724138"/>
    <b v="0"/>
    <b v="0"/>
    <b v="0"/>
    <b v="1"/>
    <b v="0"/>
    <b v="1"/>
    <b v="1"/>
    <b v="0"/>
    <b v="0"/>
    <n v="0"/>
    <n v="0"/>
    <m/>
    <d v="2018-02-12T00:00:00"/>
    <n v="32127162"/>
    <d v="2018-02-12T00:00:00"/>
    <m/>
    <m/>
    <s v=""/>
    <b v="0"/>
    <m/>
    <m/>
    <d v="2018-02-12T00:00:00"/>
    <m/>
    <n v="791522"/>
    <b v="1"/>
    <m/>
    <d v="2018-02-12T00:00:00"/>
    <m/>
    <x v="0"/>
    <b v="1"/>
    <n v="43724138"/>
    <s v="Tammy"/>
    <s v="Byers"/>
    <s v="Clay County Health Department"/>
    <s v=""/>
    <s v=""/>
    <s v="tbyers@healthdept.org"/>
    <s v=""/>
    <s v=""/>
    <s v=""/>
    <s v=""/>
    <s v=""/>
    <s v=""/>
    <s v=""/>
    <s v=""/>
    <s v=""/>
    <s v=""/>
    <s v=""/>
    <s v=""/>
    <s v=""/>
    <s v=""/>
    <s v=""/>
    <s v=""/>
    <s v="371616Newsletter Recipient"/>
    <m/>
    <x v="0"/>
  </r>
  <r>
    <n v="37778677"/>
    <b v="0"/>
    <b v="0"/>
    <b v="0"/>
    <b v="1"/>
    <b v="0"/>
    <b v="1"/>
    <b v="1"/>
    <b v="0"/>
    <b v="0"/>
    <n v="0"/>
    <n v="0"/>
    <m/>
    <d v="2017-02-24T00:00:00"/>
    <n v="32127162"/>
    <d v="2017-02-20T00:00:00"/>
    <m/>
    <m/>
    <s v=""/>
    <b v="0"/>
    <m/>
    <m/>
    <d v="2017-02-20T00:00:00"/>
    <m/>
    <n v="791522"/>
    <b v="1"/>
    <m/>
    <m/>
    <m/>
    <x v="0"/>
    <b v="1"/>
    <n v="37778677"/>
    <s v="John"/>
    <s v="Cabello"/>
    <s v="Illinois General Assembly"/>
    <s v=""/>
    <s v="Representative John M. Cabello (R)_x000a_68th District _x0009__x000a__x000a_Springfield Office:_x000a_632 Capitol Building_x000a_Springfield, IL   62706_x000a_(217) 782-0455_x000a_(217) 782-1141 FAX_x000a__x000a_District Office:_x000a_1941 Harlem Road_x000a_Loves Park, IL  61111_x000a_(815) 282-0083_x000a_(815) 282-0085 FAX"/>
    <s v="Cabello@ilhousegop.org"/>
    <s v=""/>
    <s v=""/>
    <s v=""/>
    <s v=""/>
    <s v=""/>
    <s v=""/>
    <s v=""/>
    <s v=""/>
    <s v=""/>
    <s v=""/>
    <s v=""/>
    <s v=""/>
    <s v=""/>
    <s v=""/>
    <s v=""/>
    <s v=""/>
    <s v="371616Newsletter Recipient, 371627House of Representatives"/>
    <m/>
    <x v="0"/>
  </r>
  <r>
    <n v="44973479"/>
    <b v="0"/>
    <b v="0"/>
    <b v="0"/>
    <b v="1"/>
    <b v="0"/>
    <b v="1"/>
    <b v="1"/>
    <b v="0"/>
    <b v="0"/>
    <n v="0"/>
    <n v="0"/>
    <m/>
    <d v="2018-06-26T00:00:00"/>
    <n v="32127162"/>
    <d v="2018-05-04T00:00:00"/>
    <m/>
    <m/>
    <s v=""/>
    <b v="0"/>
    <m/>
    <m/>
    <d v="2018-05-04T00:00:00"/>
    <m/>
    <n v="791522"/>
    <b v="1"/>
    <m/>
    <d v="2018-05-04T00:00:00"/>
    <m/>
    <x v="0"/>
    <b v="1"/>
    <n v="44973479"/>
    <s v="Ann"/>
    <s v="Cahill"/>
    <s v="Harmony Health Plan of Illinois - A WellCare Company"/>
    <s v=""/>
    <s v=""/>
    <s v="ann.cahill@wellcare.com"/>
    <s v="312.516.5835"/>
    <s v=""/>
    <s v=""/>
    <s v=""/>
    <s v=""/>
    <s v=""/>
    <s v=""/>
    <s v=""/>
    <s v=""/>
    <s v=""/>
    <s v=""/>
    <s v=""/>
    <s v=""/>
    <s v=""/>
    <s v=""/>
    <s v=""/>
    <s v="335701Dental, 335712Pharmacy/Pharmaceuticals, 335713Transportation, 335714Vision, 335716Hospitals, 335723Physicians, 335726Mental Health, 335727Substance Use Disorder, 335728Hospice, 335729Home Health, 335730Durable Medical Equipment, 335731FQHC, 335734Public Health Department, 336130Children's Services, 371616Newsletter Recipient, 376714Methadone Treatment, 388565Community Mental Health, 443813Discharge Planning"/>
    <s v="10633527Care Coordination"/>
    <x v="0"/>
  </r>
  <r>
    <n v="41466779"/>
    <b v="0"/>
    <b v="0"/>
    <b v="0"/>
    <b v="1"/>
    <b v="0"/>
    <b v="1"/>
    <b v="1"/>
    <b v="0"/>
    <b v="0"/>
    <n v="0"/>
    <n v="0"/>
    <m/>
    <d v="2017-09-12T00:00:00"/>
    <n v="32127162"/>
    <d v="2017-09-12T00:00:00"/>
    <m/>
    <m/>
    <s v=""/>
    <b v="0"/>
    <m/>
    <m/>
    <d v="2017-09-12T00:00:00"/>
    <m/>
    <n v="791522"/>
    <b v="1"/>
    <m/>
    <d v="2017-09-12T00:00:00"/>
    <m/>
    <x v="0"/>
    <b v="1"/>
    <n v="41466779"/>
    <s v="Fabian"/>
    <s v="Camarena"/>
    <s v=""/>
    <s v=""/>
    <s v=""/>
    <s v="camarenaf@aetna.com"/>
    <s v=""/>
    <s v=""/>
    <s v=""/>
    <s v=""/>
    <s v=""/>
    <s v=""/>
    <s v=""/>
    <s v=""/>
    <s v=""/>
    <s v=""/>
    <s v=""/>
    <s v=""/>
    <s v=""/>
    <s v=""/>
    <s v=""/>
    <s v=""/>
    <m/>
    <m/>
    <x v="0"/>
  </r>
  <r>
    <n v="44026983"/>
    <b v="0"/>
    <b v="0"/>
    <b v="0"/>
    <b v="1"/>
    <b v="0"/>
    <b v="1"/>
    <b v="1"/>
    <b v="0"/>
    <b v="0"/>
    <n v="0"/>
    <n v="0"/>
    <m/>
    <d v="2018-05-09T00:00:00"/>
    <n v="32127162"/>
    <d v="2018-03-02T00:00:00"/>
    <m/>
    <m/>
    <s v=""/>
    <b v="0"/>
    <m/>
    <m/>
    <d v="2018-03-02T00:00:00"/>
    <m/>
    <n v="791522"/>
    <b v="1"/>
    <m/>
    <d v="2018-03-02T00:00:00"/>
    <m/>
    <x v="0"/>
    <b v="1"/>
    <n v="44026983"/>
    <s v="Catherine"/>
    <s v="Cameron"/>
    <s v="IlliniCare Health"/>
    <s v=""/>
    <s v=""/>
    <s v="cacameron@dentalw.com"/>
    <s v="331.305.9468"/>
    <s v=""/>
    <s v=""/>
    <s v=""/>
    <s v=""/>
    <s v=""/>
    <s v=""/>
    <s v=""/>
    <s v=""/>
    <s v=""/>
    <s v=""/>
    <s v=""/>
    <s v=""/>
    <s v=""/>
    <s v=""/>
    <s v=""/>
    <s v="420926Dental - Contracts, 420927Dental - Claims &amp; Billing, 420928Dental - Care Coordination"/>
    <s v="10633525Contracts, 10633526Claims/Billing, 10633527Care Coordination"/>
    <x v="0"/>
  </r>
  <r>
    <n v="34033483"/>
    <b v="0"/>
    <b v="0"/>
    <b v="0"/>
    <b v="1"/>
    <b v="0"/>
    <b v="1"/>
    <b v="1"/>
    <b v="0"/>
    <b v="0"/>
    <n v="0"/>
    <n v="0"/>
    <m/>
    <d v="2018-04-24T00:00:00"/>
    <n v="32127162"/>
    <d v="2016-08-23T00:00:00"/>
    <m/>
    <m/>
    <s v=""/>
    <b v="0"/>
    <m/>
    <m/>
    <d v="2016-08-23T00:00:00"/>
    <m/>
    <n v="791522"/>
    <b v="1"/>
    <m/>
    <m/>
    <m/>
    <x v="0"/>
    <b v="1"/>
    <n v="34033483"/>
    <s v="Eric"/>
    <s v="Campbell"/>
    <s v="Harmony Health Plan of Illinois - A WellCare Company"/>
    <s v=""/>
    <s v=""/>
    <s v="Eric.Campbell@wellcare.com"/>
    <s v=""/>
    <s v=""/>
    <s v=""/>
    <s v=""/>
    <s v=""/>
    <s v=""/>
    <s v=""/>
    <s v=""/>
    <s v=""/>
    <s v=""/>
    <s v=""/>
    <s v=""/>
    <s v=""/>
    <s v=""/>
    <s v=""/>
    <s v=""/>
    <s v="350522Compliance Officer, 371616Newsletter Recipient, 441580Compliance Committee"/>
    <m/>
    <x v="0"/>
  </r>
  <r>
    <n v="44815233"/>
    <b v="0"/>
    <b v="0"/>
    <b v="0"/>
    <b v="1"/>
    <b v="0"/>
    <b v="1"/>
    <b v="1"/>
    <b v="0"/>
    <b v="0"/>
    <n v="0"/>
    <n v="0"/>
    <m/>
    <d v="2018-04-26T00:00:00"/>
    <n v="32127162"/>
    <d v="2018-04-26T00:00:00"/>
    <m/>
    <m/>
    <s v=""/>
    <b v="0"/>
    <m/>
    <m/>
    <d v="2018-04-26T00:00:00"/>
    <m/>
    <n v="791522"/>
    <b v="1"/>
    <m/>
    <d v="2018-04-26T00:00:00"/>
    <m/>
    <x v="0"/>
    <b v="1"/>
    <n v="44815233"/>
    <s v="Jen"/>
    <s v="Campbell"/>
    <s v="Humana"/>
    <s v=""/>
    <s v=""/>
    <s v="jcampbell11@humana.com"/>
    <s v=""/>
    <s v=""/>
    <s v=""/>
    <s v=""/>
    <s v="502-802-3541"/>
    <s v="502-580-1181"/>
    <s v=""/>
    <s v="Humana"/>
    <s v="Regulatory Compliance Leader, Medicaid and Duals"/>
    <s v=""/>
    <s v=""/>
    <s v=""/>
    <s v=""/>
    <s v=""/>
    <s v=""/>
    <s v=""/>
    <s v="350522Compliance Officer, 371616Newsletter Recipient, 441580Compliance Committee"/>
    <m/>
    <x v="0"/>
  </r>
  <r>
    <n v="43203479"/>
    <b v="0"/>
    <b v="0"/>
    <b v="1"/>
    <b v="1"/>
    <b v="0"/>
    <b v="1"/>
    <b v="1"/>
    <b v="0"/>
    <b v="0"/>
    <n v="0"/>
    <n v="0"/>
    <m/>
    <d v="2018-03-22T00:00:00"/>
    <n v="32127162"/>
    <d v="2018-01-09T00:00:00"/>
    <d v="2018-01-09T00:00:00"/>
    <m/>
    <s v=""/>
    <b v="0"/>
    <m/>
    <m/>
    <d v="2018-03-02T00:00:00"/>
    <m/>
    <n v="791522"/>
    <b v="1"/>
    <m/>
    <d v="2018-03-02T00:00:00"/>
    <m/>
    <x v="0"/>
    <b v="1"/>
    <n v="43203479"/>
    <s v="LaDessa"/>
    <s v="Campbell"/>
    <s v="DentaQuest Northern Greater Chicago (Meridian)"/>
    <s v="IL Provider Relations"/>
    <s v="Dental"/>
    <s v="ladessa.campbell@dentaquest.com"/>
    <s v="312.505.4629"/>
    <s v=""/>
    <s v=""/>
    <s v=""/>
    <s v=""/>
    <s v=""/>
    <s v=""/>
    <s v=""/>
    <s v=""/>
    <s v=""/>
    <s v=""/>
    <s v=""/>
    <s v=""/>
    <s v=""/>
    <s v=""/>
    <s v=""/>
    <s v="420926Dental - Contracts, 420927Dental - Claims &amp; Billing"/>
    <s v="10633525Contracts, 10633526Claims/Billing"/>
    <x v="0"/>
  </r>
  <r>
    <n v="44898229"/>
    <b v="0"/>
    <b v="0"/>
    <b v="0"/>
    <b v="1"/>
    <b v="0"/>
    <b v="1"/>
    <b v="1"/>
    <b v="0"/>
    <b v="0"/>
    <n v="0"/>
    <n v="0"/>
    <m/>
    <d v="2018-05-02T00:00:00"/>
    <n v="32127162"/>
    <d v="2018-05-02T00:00:00"/>
    <m/>
    <m/>
    <s v=""/>
    <b v="0"/>
    <m/>
    <m/>
    <d v="2018-05-02T00:00:00"/>
    <m/>
    <n v="791522"/>
    <b v="1"/>
    <m/>
    <d v="2018-05-02T00:00:00"/>
    <m/>
    <x v="0"/>
    <b v="1"/>
    <n v="44898229"/>
    <s v="Tamara"/>
    <s v="Campbell"/>
    <s v="Molina Healthcare of Illinois, Inc."/>
    <s v=""/>
    <s v=""/>
    <s v="tamara.campbell@molinahealthcare.com"/>
    <s v="815-263-5685"/>
    <s v=""/>
    <s v=""/>
    <s v=""/>
    <s v=""/>
    <s v=""/>
    <s v=""/>
    <s v="Molina Healthcare of Illinois, Inc."/>
    <s v=""/>
    <s v=""/>
    <s v=""/>
    <s v=""/>
    <s v=""/>
    <s v=""/>
    <s v=""/>
    <s v=""/>
    <s v="335700Behavioral Health - Vendor Contact"/>
    <s v="10633525Contracts, 10633526Claims/Billing, 10633527Care Coordination"/>
    <x v="0"/>
  </r>
  <r>
    <n v="42844084"/>
    <b v="0"/>
    <b v="0"/>
    <b v="0"/>
    <b v="1"/>
    <b v="0"/>
    <b v="1"/>
    <b v="1"/>
    <b v="0"/>
    <b v="0"/>
    <n v="0"/>
    <n v="0"/>
    <m/>
    <d v="2017-12-06T00:00:00"/>
    <n v="32127162"/>
    <d v="2017-12-06T00:00:00"/>
    <m/>
    <m/>
    <s v=""/>
    <b v="0"/>
    <m/>
    <m/>
    <d v="2017-12-06T00:00:00"/>
    <m/>
    <n v="791522"/>
    <b v="1"/>
    <m/>
    <d v="2017-12-06T00:00:00"/>
    <m/>
    <x v="0"/>
    <b v="1"/>
    <n v="42844084"/>
    <s v=""/>
    <s v="Canary Telehealth, Inc."/>
    <s v=""/>
    <s v=""/>
    <s v=""/>
    <s v="info@canarytelehealth.com"/>
    <s v=""/>
    <s v=""/>
    <s v=""/>
    <s v=""/>
    <s v=""/>
    <s v=""/>
    <s v=""/>
    <s v=""/>
    <s v=""/>
    <s v=""/>
    <s v=""/>
    <s v=""/>
    <s v=""/>
    <s v=""/>
    <s v=""/>
    <s v=""/>
    <s v="372311Business Member"/>
    <m/>
    <x v="0"/>
  </r>
  <r>
    <n v="44047469"/>
    <b v="0"/>
    <b v="0"/>
    <b v="0"/>
    <b v="1"/>
    <b v="0"/>
    <b v="1"/>
    <b v="1"/>
    <b v="0"/>
    <b v="0"/>
    <n v="0"/>
    <n v="0"/>
    <m/>
    <d v="2018-03-02T00:00:00"/>
    <n v="32127162"/>
    <d v="2018-03-02T00:00:00"/>
    <m/>
    <m/>
    <s v=""/>
    <b v="0"/>
    <m/>
    <m/>
    <d v="2018-03-02T00:00:00"/>
    <m/>
    <n v="791522"/>
    <b v="1"/>
    <m/>
    <d v="2018-03-02T00:00:00"/>
    <m/>
    <x v="0"/>
    <b v="1"/>
    <n v="44047469"/>
    <s v="Tammy"/>
    <s v="Cannon"/>
    <s v="Scott County Health Department"/>
    <s v=""/>
    <s v=""/>
    <s v="tcannon@scottchd.com"/>
    <s v=""/>
    <s v=""/>
    <s v=""/>
    <s v=""/>
    <s v=""/>
    <s v=""/>
    <s v=""/>
    <s v=""/>
    <s v=""/>
    <s v=""/>
    <s v=""/>
    <s v=""/>
    <s v=""/>
    <s v=""/>
    <s v=""/>
    <s v=""/>
    <s v="371616Newsletter Recipient"/>
    <m/>
    <x v="0"/>
  </r>
  <r>
    <n v="43421646"/>
    <b v="0"/>
    <b v="0"/>
    <b v="0"/>
    <b v="1"/>
    <b v="0"/>
    <b v="1"/>
    <b v="1"/>
    <b v="0"/>
    <b v="0"/>
    <n v="0"/>
    <n v="0"/>
    <m/>
    <d v="2018-01-23T00:00:00"/>
    <n v="32127162"/>
    <d v="2018-01-23T00:00:00"/>
    <m/>
    <m/>
    <s v=""/>
    <b v="0"/>
    <m/>
    <m/>
    <d v="2018-01-22T00:00:00"/>
    <m/>
    <n v="791522"/>
    <b v="1"/>
    <m/>
    <d v="2018-01-23T00:00:00"/>
    <m/>
    <x v="0"/>
    <b v="1"/>
    <n v="43421646"/>
    <s v="Grace"/>
    <s v="Cardenas"/>
    <s v="Villa Healthcare"/>
    <s v=""/>
    <s v=""/>
    <s v="grace.a.cardenas@gmail.com"/>
    <s v=""/>
    <s v=""/>
    <s v=""/>
    <s v=""/>
    <s v=""/>
    <s v=""/>
    <s v=""/>
    <s v=""/>
    <s v=""/>
    <s v=""/>
    <s v=""/>
    <s v=""/>
    <s v=""/>
    <s v=""/>
    <s v=""/>
    <s v=""/>
    <s v="371616Newsletter Recipient"/>
    <m/>
    <x v="0"/>
  </r>
  <r>
    <n v="43211262"/>
    <b v="0"/>
    <b v="0"/>
    <b v="0"/>
    <b v="1"/>
    <b v="0"/>
    <b v="1"/>
    <b v="1"/>
    <b v="0"/>
    <b v="0"/>
    <n v="0"/>
    <n v="0"/>
    <m/>
    <d v="2018-01-10T00:00:00"/>
    <n v="32127162"/>
    <d v="2018-01-10T00:00:00"/>
    <m/>
    <m/>
    <s v=""/>
    <b v="0"/>
    <m/>
    <m/>
    <d v="2018-01-09T00:00:00"/>
    <m/>
    <n v="791522"/>
    <b v="1"/>
    <m/>
    <d v="2018-01-10T00:00:00"/>
    <m/>
    <x v="0"/>
    <b v="1"/>
    <n v="43211262"/>
    <s v="Nicole"/>
    <s v="Carey"/>
    <s v="Blue Cross Blue Shield of Illinois"/>
    <s v=""/>
    <s v=""/>
    <s v="Nicole_Carey@bcbsil.com"/>
    <s v=""/>
    <s v=""/>
    <s v=""/>
    <s v=""/>
    <s v=""/>
    <s v=""/>
    <s v=""/>
    <s v=""/>
    <s v=""/>
    <s v=""/>
    <s v=""/>
    <s v=""/>
    <s v=""/>
    <s v=""/>
    <s v=""/>
    <s v=""/>
    <s v="371616Newsletter Recipient, 372294Finance Committee, 428250Hospital Assessment"/>
    <m/>
    <x v="0"/>
  </r>
  <r>
    <n v="44047181"/>
    <b v="0"/>
    <b v="0"/>
    <b v="0"/>
    <b v="1"/>
    <b v="0"/>
    <b v="1"/>
    <b v="1"/>
    <b v="0"/>
    <b v="0"/>
    <n v="0"/>
    <n v="0"/>
    <m/>
    <d v="2018-03-02T00:00:00"/>
    <n v="32127162"/>
    <d v="2018-03-02T00:00:00"/>
    <m/>
    <m/>
    <s v=""/>
    <b v="0"/>
    <m/>
    <m/>
    <d v="2018-03-02T00:00:00"/>
    <m/>
    <n v="791522"/>
    <b v="1"/>
    <m/>
    <d v="2018-03-02T00:00:00"/>
    <m/>
    <x v="0"/>
    <b v="1"/>
    <n v="44047181"/>
    <s v="Britton"/>
    <s v="Carlson"/>
    <s v="Rosecrance"/>
    <s v=""/>
    <s v=""/>
    <s v="brcarlson@rosecrance.org"/>
    <s v=""/>
    <s v=""/>
    <s v=""/>
    <s v=""/>
    <s v=""/>
    <s v=""/>
    <s v=""/>
    <s v=""/>
    <s v=""/>
    <s v=""/>
    <s v=""/>
    <s v=""/>
    <s v=""/>
    <s v=""/>
    <s v=""/>
    <s v=""/>
    <s v="371616Newsletter Recipient"/>
    <m/>
    <x v="0"/>
  </r>
  <r>
    <n v="44047462"/>
    <b v="0"/>
    <b v="0"/>
    <b v="0"/>
    <b v="1"/>
    <b v="0"/>
    <b v="1"/>
    <b v="1"/>
    <b v="0"/>
    <b v="0"/>
    <n v="0"/>
    <n v="0"/>
    <m/>
    <d v="2018-03-02T00:00:00"/>
    <n v="32127162"/>
    <d v="2018-03-02T00:00:00"/>
    <m/>
    <m/>
    <s v=""/>
    <b v="0"/>
    <m/>
    <m/>
    <d v="2018-03-02T00:00:00"/>
    <m/>
    <n v="791522"/>
    <b v="1"/>
    <m/>
    <d v="2018-03-02T00:00:00"/>
    <m/>
    <x v="0"/>
    <b v="1"/>
    <n v="44047462"/>
    <s v="Carol"/>
    <s v="Carlton"/>
    <s v="Macon County Health Department"/>
    <s v=""/>
    <s v=""/>
    <s v="ccarlton@maconcountyhealth.org"/>
    <s v=""/>
    <s v=""/>
    <s v=""/>
    <s v=""/>
    <s v=""/>
    <s v=""/>
    <s v=""/>
    <s v=""/>
    <s v=""/>
    <s v=""/>
    <s v=""/>
    <s v=""/>
    <s v=""/>
    <s v=""/>
    <s v=""/>
    <s v=""/>
    <s v="371616Newsletter Recipient"/>
    <m/>
    <x v="0"/>
  </r>
  <r>
    <n v="41881777"/>
    <b v="0"/>
    <b v="0"/>
    <b v="0"/>
    <b v="1"/>
    <b v="0"/>
    <b v="1"/>
    <b v="1"/>
    <b v="0"/>
    <b v="0"/>
    <n v="0"/>
    <n v="0"/>
    <m/>
    <d v="2018-02-12T00:00:00"/>
    <n v="32127162"/>
    <d v="2017-10-06T00:00:00"/>
    <m/>
    <m/>
    <s v=""/>
    <b v="0"/>
    <m/>
    <m/>
    <d v="2017-10-06T00:00:00"/>
    <m/>
    <n v="791522"/>
    <b v="1"/>
    <m/>
    <d v="2017-10-06T00:00:00"/>
    <m/>
    <x v="0"/>
    <b v="1"/>
    <n v="41881777"/>
    <s v="Kathy"/>
    <s v="Carmody"/>
    <s v="Institute on Public Policy for People with Disabilities"/>
    <s v=""/>
    <s v=""/>
    <s v="kathy@instituteonline.org"/>
    <s v=""/>
    <s v=""/>
    <s v=""/>
    <s v=""/>
    <s v=""/>
    <s v=""/>
    <s v=""/>
    <s v=""/>
    <s v=""/>
    <s v=""/>
    <s v=""/>
    <s v=""/>
    <s v=""/>
    <s v=""/>
    <s v=""/>
    <s v=""/>
    <s v="371616Newsletter Recipient"/>
    <m/>
    <x v="0"/>
  </r>
  <r>
    <n v="41511321"/>
    <b v="0"/>
    <b v="0"/>
    <b v="0"/>
    <b v="1"/>
    <b v="0"/>
    <b v="1"/>
    <b v="1"/>
    <b v="0"/>
    <b v="0"/>
    <n v="0"/>
    <n v="0"/>
    <m/>
    <d v="2018-03-02T00:00:00"/>
    <n v="32127162"/>
    <d v="2017-09-15T00:00:00"/>
    <m/>
    <m/>
    <s v=""/>
    <b v="0"/>
    <m/>
    <m/>
    <d v="2017-09-15T00:00:00"/>
    <m/>
    <n v="791522"/>
    <b v="1"/>
    <m/>
    <d v="2017-09-15T00:00:00"/>
    <m/>
    <x v="0"/>
    <b v="1"/>
    <n v="41511321"/>
    <s v="Jocelyn"/>
    <s v="Carroll"/>
    <s v="Aetna Better Health of Illinois"/>
    <s v=""/>
    <s v=""/>
    <s v="carrollj2@aetna.com"/>
    <s v="630-737-6519"/>
    <s v=""/>
    <s v=""/>
    <s v=""/>
    <s v=""/>
    <s v=""/>
    <s v=""/>
    <s v=""/>
    <s v=""/>
    <s v=""/>
    <s v=""/>
    <s v=""/>
    <s v=""/>
    <s v=""/>
    <s v=""/>
    <s v=""/>
    <s v="371616Newsletter Recipient"/>
    <m/>
    <x v="0"/>
  </r>
  <r>
    <n v="46436568"/>
    <b v="0"/>
    <b v="0"/>
    <b v="0"/>
    <b v="1"/>
    <b v="0"/>
    <b v="1"/>
    <b v="1"/>
    <b v="0"/>
    <b v="0"/>
    <n v="0"/>
    <n v="0"/>
    <m/>
    <d v="2018-06-21T00:00:00"/>
    <n v="32127162"/>
    <d v="2018-06-21T00:00:00"/>
    <m/>
    <m/>
    <s v=""/>
    <b v="0"/>
    <m/>
    <m/>
    <d v="2018-06-21T00:00:00"/>
    <m/>
    <n v="791522"/>
    <b v="1"/>
    <m/>
    <d v="2018-06-21T00:00:00"/>
    <m/>
    <x v="0"/>
    <b v="1"/>
    <n v="46436568"/>
    <s v="Anna"/>
    <s v="Carvalho"/>
    <s v="Anna J. Carvalho, Consultant"/>
    <s v=""/>
    <s v=""/>
    <s v="acarvalhoconsult@gmail.com"/>
    <s v=""/>
    <s v=""/>
    <s v=""/>
    <s v=""/>
    <s v=""/>
    <s v=""/>
    <s v=""/>
    <s v="Anna J. Carvalho, Consultant"/>
    <s v=""/>
    <s v=""/>
    <s v=""/>
    <s v=""/>
    <s v=""/>
    <s v=""/>
    <s v=""/>
    <s v=""/>
    <s v="371616Newsletter Recipient"/>
    <m/>
    <x v="0"/>
  </r>
  <r>
    <n v="37818968"/>
    <b v="0"/>
    <b v="0"/>
    <b v="0"/>
    <b v="1"/>
    <b v="0"/>
    <b v="1"/>
    <b v="1"/>
    <b v="0"/>
    <b v="0"/>
    <n v="0"/>
    <n v="0"/>
    <m/>
    <d v="2017-07-07T00:00:00"/>
    <n v="32127162"/>
    <d v="2017-02-24T00:00:00"/>
    <m/>
    <m/>
    <s v=""/>
    <b v="0"/>
    <m/>
    <m/>
    <d v="2017-02-23T00:00:00"/>
    <m/>
    <n v="791522"/>
    <b v="1"/>
    <m/>
    <m/>
    <m/>
    <x v="0"/>
    <b v="1"/>
    <n v="37818968"/>
    <s v="John"/>
    <s v="Carvelli"/>
    <s v="LIBERTY Dental Plan"/>
    <s v=""/>
    <s v=""/>
    <s v="jcarvelli@libertydentalplan.com"/>
    <s v=""/>
    <s v=""/>
    <s v=""/>
    <s v=""/>
    <s v=""/>
    <s v=""/>
    <s v=""/>
    <s v=""/>
    <s v=""/>
    <s v=""/>
    <s v=""/>
    <s v=""/>
    <s v=""/>
    <s v=""/>
    <s v=""/>
    <s v=""/>
    <s v="371616Newsletter Recipient, 372311Business Member"/>
    <m/>
    <x v="0"/>
  </r>
  <r>
    <n v="34514379"/>
    <b v="0"/>
    <b v="0"/>
    <b v="0"/>
    <b v="1"/>
    <b v="0"/>
    <b v="1"/>
    <b v="1"/>
    <b v="0"/>
    <b v="0"/>
    <n v="0"/>
    <n v="0"/>
    <m/>
    <d v="2018-01-22T00:00:00"/>
    <n v="32127162"/>
    <d v="2016-09-16T00:00:00"/>
    <m/>
    <m/>
    <s v=""/>
    <b v="0"/>
    <m/>
    <m/>
    <d v="2016-09-15T00:00:00"/>
    <m/>
    <n v="791522"/>
    <b v="1"/>
    <m/>
    <m/>
    <m/>
    <x v="0"/>
    <b v="1"/>
    <n v="34514379"/>
    <s v="Emily"/>
    <s v="Cassidy"/>
    <s v="Molina Healthcare of Illinois, Inc."/>
    <s v=""/>
    <s v=""/>
    <s v="emily.cassidy@molinahealthcare.com"/>
    <s v=""/>
    <s v=""/>
    <s v=""/>
    <s v=""/>
    <s v=""/>
    <s v=""/>
    <s v=""/>
    <s v=""/>
    <s v=""/>
    <s v=""/>
    <s v=""/>
    <s v=""/>
    <s v=""/>
    <s v=""/>
    <s v=""/>
    <s v=""/>
    <s v="371616Newsletter Recipient"/>
    <m/>
    <x v="0"/>
  </r>
  <r>
    <n v="37778678"/>
    <b v="0"/>
    <b v="0"/>
    <b v="0"/>
    <b v="1"/>
    <b v="0"/>
    <b v="1"/>
    <b v="1"/>
    <b v="0"/>
    <b v="0"/>
    <n v="0"/>
    <n v="0"/>
    <m/>
    <d v="2017-02-24T00:00:00"/>
    <n v="32127162"/>
    <d v="2017-02-20T00:00:00"/>
    <m/>
    <m/>
    <s v=""/>
    <b v="0"/>
    <m/>
    <m/>
    <d v="2017-02-20T00:00:00"/>
    <m/>
    <n v="791522"/>
    <b v="1"/>
    <m/>
    <m/>
    <m/>
    <x v="0"/>
    <b v="1"/>
    <n v="37778678"/>
    <s v="Kelly"/>
    <s v="Cassidy"/>
    <s v="Illinois General Assembly"/>
    <s v=""/>
    <s v="Representative Kelly M. Cassidy (D)_x000a_14th District _x0009__x000a__x000a_Springfield Office:_x000a_271-S Stratton Office Building_x000a_Springfield, IL   62706_x000a_(217) 782-8088_x000a_(217) 782-6592 FAX_x000a__x000a_District Office:_x000a_5533 North Broadway_x000a_Chicago, IL  60640_x000a_(773) 784-2002_x000a_(773) 784-2060 FAX"/>
    <s v="repcassidy@gmail.com"/>
    <s v=""/>
    <s v=""/>
    <s v=""/>
    <s v=""/>
    <s v=""/>
    <s v=""/>
    <s v=""/>
    <s v=""/>
    <s v=""/>
    <s v=""/>
    <s v=""/>
    <s v=""/>
    <s v=""/>
    <s v=""/>
    <s v=""/>
    <s v=""/>
    <s v="371616Newsletter Recipient, 371627House of Representatives"/>
    <m/>
    <x v="0"/>
  </r>
  <r>
    <n v="37818980"/>
    <b v="0"/>
    <b v="0"/>
    <b v="0"/>
    <b v="1"/>
    <b v="0"/>
    <b v="1"/>
    <b v="1"/>
    <b v="0"/>
    <b v="0"/>
    <n v="0"/>
    <n v="0"/>
    <m/>
    <d v="2017-07-07T00:00:00"/>
    <n v="32127162"/>
    <d v="2017-02-24T00:00:00"/>
    <m/>
    <m/>
    <s v=""/>
    <b v="0"/>
    <m/>
    <m/>
    <d v="2017-02-23T00:00:00"/>
    <m/>
    <n v="791522"/>
    <b v="1"/>
    <m/>
    <m/>
    <m/>
    <x v="0"/>
    <b v="1"/>
    <n v="37818980"/>
    <s v="Michael"/>
    <s v="Cassidy"/>
    <s v="McGuirewoods Consulting"/>
    <s v=""/>
    <s v=""/>
    <s v="mcassidy@mwcllc.com"/>
    <s v=""/>
    <s v=""/>
    <s v=""/>
    <s v=""/>
    <s v=""/>
    <s v=""/>
    <s v=""/>
    <s v=""/>
    <s v=""/>
    <s v=""/>
    <s v=""/>
    <s v=""/>
    <s v=""/>
    <s v=""/>
    <s v=""/>
    <s v=""/>
    <s v="371616Newsletter Recipient, 372311Business Member"/>
    <m/>
    <x v="0"/>
  </r>
  <r>
    <n v="37818992"/>
    <b v="0"/>
    <b v="0"/>
    <b v="0"/>
    <b v="1"/>
    <b v="0"/>
    <b v="1"/>
    <b v="1"/>
    <b v="0"/>
    <b v="0"/>
    <n v="0"/>
    <n v="0"/>
    <m/>
    <d v="2017-02-24T00:00:00"/>
    <n v="32127162"/>
    <d v="2017-02-24T00:00:00"/>
    <m/>
    <m/>
    <s v=""/>
    <b v="0"/>
    <m/>
    <m/>
    <d v="2017-02-23T00:00:00"/>
    <m/>
    <n v="791522"/>
    <b v="1"/>
    <m/>
    <m/>
    <m/>
    <x v="0"/>
    <b v="1"/>
    <n v="37818992"/>
    <s v="Elizabeth Diaz"/>
    <s v="Castillo"/>
    <s v="Illinois Department of Healthcare and Family Services"/>
    <s v=""/>
    <s v=""/>
    <s v="elizabeth.diaz-castillo@illinois.gov"/>
    <s v=""/>
    <s v=""/>
    <s v=""/>
    <s v=""/>
    <s v=""/>
    <s v=""/>
    <s v=""/>
    <s v=""/>
    <s v="Office of the Director"/>
    <s v=""/>
    <s v=""/>
    <s v=""/>
    <s v=""/>
    <s v=""/>
    <s v=""/>
    <s v=""/>
    <s v="371616Newsletter Recipient"/>
    <m/>
    <x v="0"/>
  </r>
  <r>
    <n v="37770421"/>
    <b v="0"/>
    <b v="0"/>
    <b v="0"/>
    <b v="1"/>
    <b v="0"/>
    <b v="1"/>
    <b v="1"/>
    <b v="0"/>
    <b v="0"/>
    <n v="0"/>
    <n v="0"/>
    <m/>
    <d v="2017-02-24T00:00:00"/>
    <n v="32127162"/>
    <d v="2017-02-20T00:00:00"/>
    <m/>
    <m/>
    <s v=""/>
    <b v="0"/>
    <m/>
    <m/>
    <d v="2017-02-20T00:00:00"/>
    <m/>
    <n v="791522"/>
    <b v="1"/>
    <m/>
    <m/>
    <m/>
    <x v="0"/>
    <b v="1"/>
    <n v="37770421"/>
    <s v="Cristina"/>
    <s v="Castro"/>
    <s v="Illinois General Assembly"/>
    <s v=""/>
    <s v="Senator Cristina Castro (D)_x000a_22nd District_x0009__x000a__x000a_Springfield Office:_x000a_Senator 22nd District_x000a_M121 Capitol Building_x000a_Springfield, IL   62706_x000a_(217) 782-7746_x000a_ _x000a_District Office:_x000a_164 Division Street_x000a_Suite 102_x000a_Elgin, IL  60120_x000a_(847) 214-8864_x000a_(847) 214-8867 FAX"/>
    <s v=""/>
    <s v=""/>
    <s v=""/>
    <s v=""/>
    <s v=""/>
    <s v=""/>
    <s v="(217) 782-7746"/>
    <s v=""/>
    <s v=""/>
    <s v=""/>
    <s v=""/>
    <s v=""/>
    <s v=""/>
    <s v=""/>
    <s v=""/>
    <s v=""/>
    <s v=""/>
    <s v="371609Senator, 371616Newsletter Recipient"/>
    <m/>
    <x v="0"/>
  </r>
  <r>
    <n v="37778679"/>
    <b v="0"/>
    <b v="0"/>
    <b v="0"/>
    <b v="1"/>
    <b v="0"/>
    <b v="1"/>
    <b v="1"/>
    <b v="0"/>
    <b v="0"/>
    <n v="0"/>
    <n v="0"/>
    <m/>
    <d v="2017-02-20T00:00:00"/>
    <n v="32127162"/>
    <d v="2017-02-20T00:00:00"/>
    <m/>
    <m/>
    <s v=""/>
    <b v="0"/>
    <m/>
    <m/>
    <d v="2017-02-20T00:00:00"/>
    <m/>
    <n v="791522"/>
    <b v="1"/>
    <m/>
    <m/>
    <m/>
    <x v="0"/>
    <b v="1"/>
    <n v="37778679"/>
    <s v="John"/>
    <s v="Cavaletto"/>
    <s v="Illinois General Assembly"/>
    <s v=""/>
    <s v="Representative John Cavaletto (R)_x000a_107th District _x0009__x000a__x000a_Springfield Office:_x000a_205-N Stratton Office Building_x000a_Springfield, IL   62706_x000a_(217) 782-0066_x000a_(217) 782-1336 FAX_x000a__x000a_District Office:_x000a_1370 W. Main Street, Suite A_x000a_P.O. Box 1264_x000a_Salem, IL  62881_x000a_(618) 548-9080_x000a_(618) 548-9087 FAX"/>
    <s v=""/>
    <s v=""/>
    <s v=""/>
    <s v=""/>
    <s v=""/>
    <s v=""/>
    <s v=""/>
    <s v=""/>
    <s v=""/>
    <s v=""/>
    <s v=""/>
    <s v=""/>
    <s v=""/>
    <s v=""/>
    <s v=""/>
    <s v=""/>
    <s v=""/>
    <s v="371616Newsletter Recipient, 371627House of Representatives"/>
    <m/>
    <x v="0"/>
  </r>
  <r>
    <n v="44047419"/>
    <b v="0"/>
    <b v="0"/>
    <b v="0"/>
    <b v="1"/>
    <b v="0"/>
    <b v="1"/>
    <b v="1"/>
    <b v="0"/>
    <b v="0"/>
    <n v="0"/>
    <n v="0"/>
    <m/>
    <d v="2018-03-02T00:00:00"/>
    <n v="32127162"/>
    <d v="2018-03-02T00:00:00"/>
    <m/>
    <m/>
    <s v=""/>
    <b v="0"/>
    <m/>
    <m/>
    <d v="2018-03-02T00:00:00"/>
    <m/>
    <n v="791522"/>
    <b v="1"/>
    <m/>
    <d v="2018-03-02T00:00:00"/>
    <m/>
    <x v="0"/>
    <b v="1"/>
    <n v="44047419"/>
    <s v="Don"/>
    <s v="Cavi"/>
    <s v="Logan County Department of Public Health"/>
    <s v=""/>
    <s v=""/>
    <s v="dcavi@lcdph.org"/>
    <s v=""/>
    <s v=""/>
    <s v=""/>
    <s v=""/>
    <s v=""/>
    <s v=""/>
    <s v=""/>
    <s v=""/>
    <s v=""/>
    <s v=""/>
    <s v=""/>
    <s v=""/>
    <s v=""/>
    <s v=""/>
    <s v=""/>
    <s v=""/>
    <s v="371616Newsletter Recipient"/>
    <m/>
    <x v="0"/>
  </r>
  <r>
    <n v="46701710"/>
    <b v="0"/>
    <b v="0"/>
    <b v="0"/>
    <b v="1"/>
    <b v="0"/>
    <b v="1"/>
    <b v="1"/>
    <b v="0"/>
    <b v="0"/>
    <n v="0"/>
    <n v="0"/>
    <m/>
    <d v="2018-06-29T00:00:00"/>
    <n v="32127162"/>
    <d v="2018-06-29T00:00:00"/>
    <m/>
    <m/>
    <s v=""/>
    <b v="0"/>
    <m/>
    <m/>
    <d v="2018-06-29T00:00:00"/>
    <m/>
    <n v="791522"/>
    <b v="1"/>
    <m/>
    <d v="2018-06-29T00:00:00"/>
    <m/>
    <x v="0"/>
    <b v="1"/>
    <n v="46701710"/>
    <s v="Laurel"/>
    <s v="Chadde"/>
    <s v="CountyCare Health Plan"/>
    <s v=""/>
    <s v=""/>
    <s v="laurel.chadde@cookcountyhhs.org"/>
    <s v=""/>
    <s v=""/>
    <s v=""/>
    <s v=""/>
    <s v=""/>
    <s v=""/>
    <s v=""/>
    <s v="CountyCare Health Plan"/>
    <s v=""/>
    <s v=""/>
    <s v=""/>
    <s v=""/>
    <s v=""/>
    <s v=""/>
    <s v=""/>
    <s v=""/>
    <s v="371616Newsletter Recipient, 372293Quality Committee"/>
    <m/>
    <x v="0"/>
  </r>
  <r>
    <n v="43669282"/>
    <b v="0"/>
    <b v="0"/>
    <b v="0"/>
    <b v="1"/>
    <b v="0"/>
    <b v="1"/>
    <b v="1"/>
    <b v="0"/>
    <b v="0"/>
    <n v="0"/>
    <n v="0"/>
    <m/>
    <d v="2018-05-09T00:00:00"/>
    <n v="32127162"/>
    <d v="2018-02-08T00:00:00"/>
    <m/>
    <m/>
    <s v=""/>
    <b v="0"/>
    <m/>
    <m/>
    <d v="2018-02-07T00:00:00"/>
    <m/>
    <n v="791522"/>
    <b v="1"/>
    <m/>
    <d v="2018-02-08T00:00:00"/>
    <m/>
    <x v="0"/>
    <b v="1"/>
    <n v="43669282"/>
    <s v="Patrice"/>
    <s v="Chambers"/>
    <s v="IlliniCare Health"/>
    <s v=""/>
    <s v=""/>
    <s v="patrice.g.chambers@illinicare.com"/>
    <s v="312.260.5876"/>
    <s v=""/>
    <s v=""/>
    <s v=""/>
    <s v=""/>
    <s v=""/>
    <s v=""/>
    <s v=""/>
    <s v=""/>
    <s v=""/>
    <s v=""/>
    <s v=""/>
    <s v=""/>
    <s v=""/>
    <s v=""/>
    <s v=""/>
    <s v="371616Newsletter Recipient, 372298Operations Transportation Subcommittee, 420915HFS OIG - Transportation Brokers, 420967Transportation - Contracts, 420968Transportation - Claims &amp; Billing, 420969Transportation - Care Coordination"/>
    <s v="10633525Contracts, 10633526Claims/Billing, 10633527Care Coordination"/>
    <x v="0"/>
  </r>
  <r>
    <n v="34022373"/>
    <b v="0"/>
    <b v="0"/>
    <b v="0"/>
    <b v="1"/>
    <b v="0"/>
    <b v="1"/>
    <b v="1"/>
    <b v="0"/>
    <b v="0"/>
    <n v="0"/>
    <n v="0"/>
    <m/>
    <d v="2018-02-08T00:00:00"/>
    <n v="32127162"/>
    <d v="2016-08-22T00:00:00"/>
    <m/>
    <m/>
    <s v=""/>
    <b v="0"/>
    <m/>
    <m/>
    <d v="2016-08-22T00:00:00"/>
    <m/>
    <n v="791522"/>
    <b v="1"/>
    <m/>
    <m/>
    <m/>
    <x v="0"/>
    <b v="1"/>
    <n v="34022373"/>
    <s v="Kathy"/>
    <s v="Chan"/>
    <s v="CountyCare Health Plan"/>
    <s v=""/>
    <s v=""/>
    <s v="KChan5@cookcountyhhs.org"/>
    <s v="312-864-1152"/>
    <s v=""/>
    <s v=""/>
    <s v=""/>
    <s v="312-882-7046"/>
    <s v=""/>
    <s v=""/>
    <s v=""/>
    <s v=""/>
    <s v=""/>
    <s v=""/>
    <s v=""/>
    <s v=""/>
    <s v=""/>
    <s v=""/>
    <s v=""/>
    <s v="335747Government Relations, 371616Newsletter Recipient, 372294Finance Committee, 372295Board of Directors/General Distribution List, 372296Legislative Committee, 420911IAMHP Leadership, 428250Hospital Assessment, 428788Pharmacy Director Committee"/>
    <m/>
    <x v="0"/>
  </r>
  <r>
    <n v="39537577"/>
    <b v="0"/>
    <b v="0"/>
    <b v="0"/>
    <b v="1"/>
    <b v="0"/>
    <b v="1"/>
    <b v="1"/>
    <b v="0"/>
    <b v="0"/>
    <n v="0"/>
    <n v="0"/>
    <m/>
    <d v="2018-03-02T00:00:00"/>
    <n v="32127162"/>
    <d v="2017-06-28T00:00:00"/>
    <m/>
    <m/>
    <s v=""/>
    <b v="0"/>
    <m/>
    <m/>
    <d v="2017-06-28T00:00:00"/>
    <m/>
    <n v="791522"/>
    <b v="1"/>
    <m/>
    <m/>
    <m/>
    <x v="0"/>
    <b v="1"/>
    <n v="39537577"/>
    <s v="Scott"/>
    <s v="Chandler"/>
    <s v="IlliniCare Health"/>
    <s v=""/>
    <s v=""/>
    <s v="Scott.Chandler@EnvolveHealth.com"/>
    <s v="866-329-4701 ext 49329"/>
    <s v=""/>
    <s v=""/>
    <s v=""/>
    <s v=""/>
    <s v=""/>
    <s v=""/>
    <s v=""/>
    <s v=""/>
    <s v=""/>
    <s v=""/>
    <s v=""/>
    <s v=""/>
    <s v=""/>
    <s v=""/>
    <s v=""/>
    <s v="371616Newsletter Recipient"/>
    <m/>
    <x v="0"/>
  </r>
  <r>
    <n v="41944253"/>
    <b v="0"/>
    <b v="0"/>
    <b v="0"/>
    <b v="1"/>
    <b v="0"/>
    <b v="1"/>
    <b v="1"/>
    <b v="0"/>
    <b v="0"/>
    <n v="0"/>
    <n v="0"/>
    <m/>
    <d v="2018-02-12T00:00:00"/>
    <n v="32127162"/>
    <d v="2017-10-12T00:00:00"/>
    <m/>
    <m/>
    <s v=""/>
    <b v="0"/>
    <m/>
    <m/>
    <d v="2017-10-12T00:00:00"/>
    <m/>
    <n v="791522"/>
    <b v="1"/>
    <m/>
    <d v="2017-10-12T00:00:00"/>
    <m/>
    <x v="0"/>
    <b v="1"/>
    <n v="41944253"/>
    <s v="Caroline"/>
    <s v="Chapman"/>
    <s v=""/>
    <s v=""/>
    <s v=""/>
    <s v="cchapman@legalcouncil.org"/>
    <s v=""/>
    <s v=""/>
    <s v=""/>
    <s v=""/>
    <s v=""/>
    <s v=""/>
    <s v=""/>
    <s v=""/>
    <s v=""/>
    <s v=""/>
    <s v=""/>
    <s v=""/>
    <s v=""/>
    <s v=""/>
    <s v=""/>
    <s v=""/>
    <s v="371616Newsletter Recipient"/>
    <m/>
    <x v="0"/>
  </r>
  <r>
    <n v="37822876"/>
    <b v="0"/>
    <b v="0"/>
    <b v="0"/>
    <b v="1"/>
    <b v="0"/>
    <b v="1"/>
    <b v="1"/>
    <b v="0"/>
    <b v="0"/>
    <n v="0"/>
    <n v="0"/>
    <m/>
    <d v="2018-02-12T00:00:00"/>
    <n v="32127162"/>
    <d v="2017-02-24T00:00:00"/>
    <m/>
    <m/>
    <s v=""/>
    <b v="0"/>
    <m/>
    <m/>
    <d v="2017-02-24T00:00:00"/>
    <m/>
    <n v="791522"/>
    <b v="1"/>
    <m/>
    <m/>
    <m/>
    <x v="0"/>
    <b v="1"/>
    <n v="37822876"/>
    <s v="Carrie"/>
    <s v="Chapman"/>
    <s v=""/>
    <s v=""/>
    <s v=""/>
    <s v="cchapman@lafchicago.org"/>
    <s v=""/>
    <s v=""/>
    <s v=""/>
    <s v=""/>
    <s v=""/>
    <s v=""/>
    <s v=""/>
    <s v=""/>
    <s v=""/>
    <s v=""/>
    <s v=""/>
    <s v=""/>
    <s v=""/>
    <s v=""/>
    <s v=""/>
    <s v=""/>
    <s v="371616Newsletter Recipient"/>
    <m/>
    <x v="0"/>
  </r>
  <r>
    <n v="44047446"/>
    <b v="0"/>
    <b v="0"/>
    <b v="0"/>
    <b v="1"/>
    <b v="0"/>
    <b v="1"/>
    <b v="1"/>
    <b v="0"/>
    <b v="0"/>
    <n v="0"/>
    <n v="0"/>
    <m/>
    <d v="2018-03-02T00:00:00"/>
    <n v="32127162"/>
    <d v="2018-03-02T00:00:00"/>
    <m/>
    <m/>
    <s v=""/>
    <b v="0"/>
    <m/>
    <m/>
    <d v="2018-03-02T00:00:00"/>
    <m/>
    <n v="791522"/>
    <b v="1"/>
    <m/>
    <d v="2018-03-02T00:00:00"/>
    <m/>
    <x v="0"/>
    <b v="1"/>
    <n v="44047446"/>
    <s v="Kay"/>
    <s v="Chase"/>
    <s v="DeKalb County Health Department"/>
    <s v=""/>
    <s v=""/>
    <s v="kchase@deaklbcounty.org"/>
    <s v=""/>
    <s v=""/>
    <s v=""/>
    <s v=""/>
    <s v=""/>
    <s v=""/>
    <s v=""/>
    <s v=""/>
    <s v=""/>
    <s v=""/>
    <s v=""/>
    <s v=""/>
    <s v=""/>
    <s v=""/>
    <s v=""/>
    <s v=""/>
    <s v="371616Newsletter Recipient"/>
    <m/>
    <x v="0"/>
  </r>
  <r>
    <n v="43932090"/>
    <b v="0"/>
    <b v="0"/>
    <b v="0"/>
    <b v="1"/>
    <b v="0"/>
    <b v="1"/>
    <b v="1"/>
    <b v="0"/>
    <b v="0"/>
    <n v="0"/>
    <n v="0"/>
    <m/>
    <d v="2018-02-26T00:00:00"/>
    <n v="32127162"/>
    <d v="2018-02-26T00:00:00"/>
    <m/>
    <m/>
    <s v=""/>
    <b v="0"/>
    <m/>
    <m/>
    <d v="2018-02-26T00:00:00"/>
    <m/>
    <n v="791522"/>
    <b v="1"/>
    <m/>
    <d v="2018-02-26T00:00:00"/>
    <m/>
    <x v="0"/>
    <b v="1"/>
    <n v="43932090"/>
    <s v="Alicia"/>
    <s v="Chavez"/>
    <s v="Blue Cross Blue Shield of Illinois"/>
    <s v=""/>
    <s v=""/>
    <s v="alicia_chavez@bcbsnm.com"/>
    <s v=""/>
    <s v=""/>
    <s v=""/>
    <s v=""/>
    <s v=""/>
    <s v=""/>
    <s v=""/>
    <s v=""/>
    <s v=""/>
    <s v=""/>
    <s v=""/>
    <s v=""/>
    <s v=""/>
    <s v=""/>
    <s v=""/>
    <s v=""/>
    <s v="371616Newsletter Recipient, 428788Pharmacy Director Committee"/>
    <m/>
    <x v="0"/>
  </r>
  <r>
    <n v="37822583"/>
    <b v="0"/>
    <b v="0"/>
    <b v="0"/>
    <b v="1"/>
    <b v="0"/>
    <b v="1"/>
    <b v="1"/>
    <b v="0"/>
    <b v="0"/>
    <n v="0"/>
    <n v="0"/>
    <m/>
    <d v="2017-02-24T00:00:00"/>
    <n v="32127162"/>
    <d v="2017-02-24T00:00:00"/>
    <m/>
    <m/>
    <s v=""/>
    <b v="0"/>
    <m/>
    <m/>
    <d v="2017-02-24T00:00:00"/>
    <m/>
    <n v="791522"/>
    <b v="1"/>
    <m/>
    <m/>
    <m/>
    <x v="0"/>
    <b v="1"/>
    <n v="37822583"/>
    <s v="Mark"/>
    <s v="Chudzinski"/>
    <s v="NextLevel Health"/>
    <s v=""/>
    <s v=""/>
    <s v="Mark.chudzinski@nlhpartners.com"/>
    <s v=""/>
    <s v=""/>
    <s v=""/>
    <s v=""/>
    <s v=""/>
    <s v=""/>
    <s v=""/>
    <s v=""/>
    <s v=""/>
    <s v=""/>
    <s v=""/>
    <s v=""/>
    <s v=""/>
    <s v=""/>
    <s v=""/>
    <s v=""/>
    <s v="371616Newsletter Recipient"/>
    <m/>
    <x v="0"/>
  </r>
  <r>
    <n v="46481282"/>
    <b v="0"/>
    <b v="0"/>
    <b v="0"/>
    <b v="1"/>
    <b v="0"/>
    <b v="1"/>
    <b v="1"/>
    <b v="0"/>
    <b v="0"/>
    <n v="0"/>
    <n v="0"/>
    <m/>
    <d v="2018-06-22T00:00:00"/>
    <n v="32127162"/>
    <d v="2018-06-22T00:00:00"/>
    <m/>
    <m/>
    <s v=""/>
    <b v="0"/>
    <m/>
    <m/>
    <d v="2018-06-22T00:00:00"/>
    <m/>
    <n v="791522"/>
    <b v="1"/>
    <m/>
    <d v="2018-06-22T00:00:00"/>
    <m/>
    <x v="0"/>
    <b v="1"/>
    <n v="46481282"/>
    <s v=""/>
    <s v="Claims"/>
    <s v="NextLevel Health"/>
    <s v=""/>
    <s v=""/>
    <s v="claims.administration@nlhpartners.com"/>
    <s v=""/>
    <s v=""/>
    <s v=""/>
    <s v=""/>
    <s v=""/>
    <s v=""/>
    <s v=""/>
    <s v="NextLevel Health"/>
    <s v=""/>
    <s v=""/>
    <s v=""/>
    <s v=""/>
    <s v=""/>
    <s v=""/>
    <s v=""/>
    <s v=""/>
    <s v="420924Community Mental Health - Claims &amp; Billing, 420930Durable Medical Equipment - Claims &amp; Billing, 420933FQHC - Claims &amp; Billing, 420936Home Health - Claims &amp; Billing, 420939Hospice - Claims &amp; Billing, 420942Hospitals - Claims &amp; Billing, 420945Mental Health - Claims &amp; Billing, 420948Methadone Treatment - Claims &amp; Billing, 420951Physicians - Claims &amp; Billing, 420954Public Health Department - Claims &amp; Billing, 420958Redetermination Point Person - Claims &amp; Billing, 420961Substance Use Disorder - Claims &amp; Billing, 420968Transportation - Claims &amp; Billing, 420974Children's Services - Claims &amp; Billing, 420988LTC - Claims &amp; Billing"/>
    <s v="10633526Claims/Billing"/>
    <x v="0"/>
  </r>
  <r>
    <n v="34088123"/>
    <b v="0"/>
    <b v="0"/>
    <b v="0"/>
    <b v="1"/>
    <b v="0"/>
    <b v="1"/>
    <b v="1"/>
    <b v="0"/>
    <b v="0"/>
    <n v="0"/>
    <n v="0"/>
    <m/>
    <d v="2018-01-29T00:00:00"/>
    <n v="32127162"/>
    <d v="2016-08-29T00:00:00"/>
    <m/>
    <m/>
    <s v=""/>
    <b v="0"/>
    <m/>
    <m/>
    <d v="2016-08-29T00:00:00"/>
    <m/>
    <n v="791522"/>
    <b v="1"/>
    <m/>
    <m/>
    <m/>
    <x v="0"/>
    <b v="1"/>
    <n v="34088123"/>
    <s v="Dara"/>
    <s v="Clark"/>
    <s v="Blue Cross Blue Shield of Illinois"/>
    <s v=""/>
    <s v=""/>
    <s v="Dara_Clark@bcbsil.com"/>
    <s v="312-653-3327"/>
    <s v=""/>
    <s v=""/>
    <s v=""/>
    <s v=""/>
    <s v=""/>
    <s v=""/>
    <s v=""/>
    <s v=""/>
    <s v=""/>
    <s v=""/>
    <s v=""/>
    <s v=""/>
    <s v=""/>
    <s v=""/>
    <s v=""/>
    <s v="371616Newsletter Recipient"/>
    <m/>
    <x v="0"/>
  </r>
  <r>
    <n v="39525781"/>
    <b v="0"/>
    <b v="0"/>
    <b v="0"/>
    <b v="1"/>
    <b v="0"/>
    <b v="1"/>
    <b v="1"/>
    <b v="0"/>
    <b v="0"/>
    <n v="0"/>
    <n v="0"/>
    <m/>
    <d v="2018-02-12T00:00:00"/>
    <n v="32127162"/>
    <d v="2017-06-27T00:00:00"/>
    <m/>
    <m/>
    <s v=""/>
    <b v="0"/>
    <m/>
    <m/>
    <d v="2017-06-27T00:00:00"/>
    <m/>
    <n v="791522"/>
    <b v="1"/>
    <m/>
    <m/>
    <m/>
    <x v="0"/>
    <b v="1"/>
    <n v="39525781"/>
    <s v="David"/>
    <s v="Clark"/>
    <s v="Blue Cross Blue Shield of Illinois"/>
    <s v=""/>
    <s v=""/>
    <s v="david.clark@greatdentalplans.com"/>
    <s v="262-219-9794"/>
    <s v=""/>
    <s v=""/>
    <s v=""/>
    <s v=""/>
    <s v=""/>
    <s v=""/>
    <s v=""/>
    <s v=""/>
    <s v=""/>
    <s v=""/>
    <s v=""/>
    <s v=""/>
    <s v=""/>
    <s v=""/>
    <s v=""/>
    <s v="371616Newsletter Recipient"/>
    <m/>
    <x v="0"/>
  </r>
  <r>
    <n v="37819426"/>
    <b v="0"/>
    <b v="0"/>
    <b v="0"/>
    <b v="1"/>
    <b v="0"/>
    <b v="1"/>
    <b v="1"/>
    <b v="0"/>
    <b v="0"/>
    <n v="0"/>
    <n v="0"/>
    <m/>
    <d v="2017-10-26T00:00:00"/>
    <n v="32127162"/>
    <d v="2017-02-24T00:00:00"/>
    <m/>
    <m/>
    <s v=""/>
    <b v="0"/>
    <m/>
    <m/>
    <d v="2017-02-23T00:00:00"/>
    <m/>
    <n v="791522"/>
    <b v="1"/>
    <m/>
    <m/>
    <m/>
    <x v="0"/>
    <b v="1"/>
    <n v="37819426"/>
    <s v="Sue"/>
    <s v="Clark"/>
    <s v=""/>
    <s v=""/>
    <s v=""/>
    <s v="sue@capitoledge.com"/>
    <s v=""/>
    <s v=""/>
    <s v=""/>
    <s v=""/>
    <s v=""/>
    <s v=""/>
    <s v=""/>
    <s v=""/>
    <s v=""/>
    <s v=""/>
    <s v=""/>
    <s v=""/>
    <s v=""/>
    <s v=""/>
    <s v=""/>
    <s v=""/>
    <s v="371616Newsletter Recipient"/>
    <m/>
    <x v="0"/>
  </r>
  <r>
    <n v="37819429"/>
    <b v="0"/>
    <b v="0"/>
    <b v="0"/>
    <b v="1"/>
    <b v="0"/>
    <b v="1"/>
    <b v="1"/>
    <b v="0"/>
    <b v="0"/>
    <n v="0"/>
    <n v="0"/>
    <m/>
    <d v="2018-02-12T00:00:00"/>
    <n v="32127162"/>
    <d v="2017-02-24T00:00:00"/>
    <m/>
    <m/>
    <s v=""/>
    <b v="0"/>
    <m/>
    <m/>
    <d v="2017-02-23T00:00:00"/>
    <m/>
    <n v="791522"/>
    <b v="1"/>
    <m/>
    <m/>
    <m/>
    <x v="0"/>
    <b v="1"/>
    <n v="37819429"/>
    <s v="Terri"/>
    <s v="Clark"/>
    <s v="Humana"/>
    <s v=""/>
    <s v="Manager, MRA Policy and Data Integrity - Medicare Risk Adjustment"/>
    <s v="tclark2@humana.com"/>
    <s v=""/>
    <s v=""/>
    <s v=""/>
    <s v=""/>
    <s v=""/>
    <s v=""/>
    <s v=""/>
    <s v=""/>
    <s v="Manager, MRA Policy and Data Integrity - Medicare Risk Adjustment"/>
    <s v=""/>
    <s v=""/>
    <s v=""/>
    <s v=""/>
    <s v=""/>
    <s v=""/>
    <s v=""/>
    <s v="371616Newsletter Recipient"/>
    <m/>
    <x v="0"/>
  </r>
  <r>
    <n v="34088105"/>
    <b v="0"/>
    <b v="0"/>
    <b v="0"/>
    <b v="1"/>
    <b v="0"/>
    <b v="1"/>
    <b v="1"/>
    <b v="0"/>
    <b v="0"/>
    <n v="0"/>
    <n v="0"/>
    <m/>
    <d v="2018-05-29T00:00:00"/>
    <n v="32127162"/>
    <d v="2016-08-29T00:00:00"/>
    <m/>
    <m/>
    <s v=""/>
    <b v="0"/>
    <m/>
    <m/>
    <d v="2016-08-29T00:00:00"/>
    <m/>
    <n v="791522"/>
    <b v="1"/>
    <m/>
    <m/>
    <m/>
    <x v="0"/>
    <b v="1"/>
    <n v="34088105"/>
    <s v="Terriana"/>
    <s v="Clark"/>
    <s v="Aetna Better Health"/>
    <s v=""/>
    <s v=""/>
    <s v="ClarkT9@aetna.com"/>
    <s v="630-737-6462"/>
    <s v=""/>
    <s v=""/>
    <s v=""/>
    <s v=""/>
    <s v=""/>
    <s v=""/>
    <s v=""/>
    <s v=""/>
    <s v=""/>
    <s v=""/>
    <s v=""/>
    <s v=""/>
    <s v=""/>
    <s v=""/>
    <s v=""/>
    <s v="335736Provider Relations - Committee Members, 371616Newsletter Recipient, 447857HFS Ops Workgroup"/>
    <m/>
    <x v="0"/>
  </r>
  <r>
    <n v="43421817"/>
    <b v="0"/>
    <b v="0"/>
    <b v="0"/>
    <b v="1"/>
    <b v="0"/>
    <b v="1"/>
    <b v="1"/>
    <b v="0"/>
    <b v="0"/>
    <n v="0"/>
    <n v="0"/>
    <m/>
    <d v="2018-06-26T00:00:00"/>
    <n v="32127162"/>
    <d v="2018-01-23T00:00:00"/>
    <m/>
    <m/>
    <s v=""/>
    <b v="0"/>
    <m/>
    <m/>
    <d v="2018-01-22T00:00:00"/>
    <m/>
    <n v="791522"/>
    <b v="1"/>
    <m/>
    <d v="2018-01-23T00:00:00"/>
    <m/>
    <x v="0"/>
    <b v="1"/>
    <n v="43421817"/>
    <s v="Kris"/>
    <s v="Classen"/>
    <s v="Molina Healthcare of Illinois, Inc."/>
    <s v=""/>
    <s v=""/>
    <s v="Kristopher.Classen@molinahealthcare.com"/>
    <s v=""/>
    <s v=""/>
    <s v=""/>
    <s v=""/>
    <s v=""/>
    <s v=""/>
    <s v=""/>
    <s v=""/>
    <s v=""/>
    <s v=""/>
    <s v=""/>
    <s v=""/>
    <s v=""/>
    <s v=""/>
    <s v=""/>
    <s v=""/>
    <s v="335736Provider Relations - Committee Members, 335746Encounters Expert, 335747Government Relations, 371616Newsletter Recipient, 372292Medical Directors, 372293Quality Committee, 372294Finance Committee, 372295Board of Directors/General Distribution List, 372296Legislative Committee, 372297Operations Committee, 372298Operations Transportation Subcommittee, 372306Marketing Committee, 372312IHA-IAMHP Working Group, 372313MCO Contact List for IHA, 3767711115 Workgroup, 428788Pharmacy Director Committee, 441580Compliance Committee, 443813Discharge Planning, 447857HFS Ops Workgroup"/>
    <m/>
    <x v="0"/>
  </r>
  <r>
    <n v="37770428"/>
    <b v="0"/>
    <b v="0"/>
    <b v="0"/>
    <b v="1"/>
    <b v="0"/>
    <b v="1"/>
    <b v="1"/>
    <b v="0"/>
    <b v="0"/>
    <n v="0"/>
    <n v="0"/>
    <m/>
    <d v="2017-02-24T00:00:00"/>
    <n v="32127162"/>
    <d v="2017-02-20T00:00:00"/>
    <m/>
    <m/>
    <s v=""/>
    <b v="0"/>
    <m/>
    <m/>
    <d v="2017-02-20T00:00:00"/>
    <m/>
    <n v="791522"/>
    <b v="1"/>
    <m/>
    <m/>
    <m/>
    <x v="0"/>
    <b v="1"/>
    <n v="37770428"/>
    <s v="James"/>
    <s v="Clayborne, Jr."/>
    <s v=""/>
    <s v="Senator"/>
    <s v="Senator James F. Clayborne, Jr. (D)_x000a_57th District_x000a_Senate Majority Leader_x0009_ _x0009__x000a__x000a_Springfield Office:_x000a_Senator 57th District_x000a_329A Capitol Building_x000a_Springfield, IL   62706_x000a_(217) 782-5399_x000a_(217) 558-6013 FAX_x000a_ _x000a_District Office:_x000a_Kenneth Hall Regional Office Building_x000a_10 Collinsville Avenue, Suite 201A_x000a_East St. Louis, IL  62201_x000a_(618) 875-1212_x000a_(618) 274-3010 FAX"/>
    <s v="sclemons@senatedem.ilga.gov"/>
    <s v=""/>
    <s v=""/>
    <s v=""/>
    <s v=""/>
    <s v=""/>
    <s v="(217) 782-5399"/>
    <s v=""/>
    <s v=""/>
    <s v=""/>
    <s v=""/>
    <s v=""/>
    <s v=""/>
    <s v=""/>
    <s v=""/>
    <s v=""/>
    <s v=""/>
    <s v="371609Senator, 371616Newsletter Recipient"/>
    <m/>
    <x v="0"/>
  </r>
  <r>
    <n v="37819430"/>
    <b v="0"/>
    <b v="0"/>
    <b v="0"/>
    <b v="1"/>
    <b v="0"/>
    <b v="1"/>
    <b v="1"/>
    <b v="0"/>
    <b v="0"/>
    <n v="0"/>
    <n v="0"/>
    <m/>
    <d v="2018-06-14T00:00:00"/>
    <n v="32127162"/>
    <d v="2017-02-24T00:00:00"/>
    <m/>
    <m/>
    <s v=""/>
    <b v="0"/>
    <m/>
    <m/>
    <d v="2017-02-23T00:00:00"/>
    <m/>
    <n v="791522"/>
    <b v="1"/>
    <m/>
    <m/>
    <m/>
    <x v="0"/>
    <b v="1"/>
    <n v="37819430"/>
    <s v="Letty"/>
    <s v="Close"/>
    <s v="CountyCare Health Plan"/>
    <s v=""/>
    <s v=""/>
    <s v="lclose@cookcountyhhs.org"/>
    <s v=""/>
    <s v=""/>
    <s v=""/>
    <s v=""/>
    <s v=""/>
    <s v=""/>
    <s v=""/>
    <s v=""/>
    <s v="Government Relations"/>
    <s v=""/>
    <s v=""/>
    <s v=""/>
    <s v=""/>
    <s v=""/>
    <s v=""/>
    <s v=""/>
    <s v="371616Newsletter Recipient, 372296Legislative Committee, 428250Hospital Assessment"/>
    <m/>
    <x v="0"/>
  </r>
  <r>
    <n v="44047382"/>
    <b v="0"/>
    <b v="0"/>
    <b v="0"/>
    <b v="1"/>
    <b v="0"/>
    <b v="1"/>
    <b v="1"/>
    <b v="0"/>
    <b v="0"/>
    <n v="0"/>
    <n v="0"/>
    <m/>
    <d v="2018-03-02T00:00:00"/>
    <n v="32127162"/>
    <d v="2018-03-02T00:00:00"/>
    <m/>
    <m/>
    <s v=""/>
    <b v="0"/>
    <m/>
    <m/>
    <d v="2018-03-02T00:00:00"/>
    <m/>
    <n v="791522"/>
    <b v="1"/>
    <m/>
    <d v="2018-03-02T00:00:00"/>
    <m/>
    <x v="0"/>
    <b v="1"/>
    <n v="44047382"/>
    <s v="Barb"/>
    <s v="Clott"/>
    <s v="Christian Horizons"/>
    <s v=""/>
    <s v=""/>
    <s v="bclott@chliving.org"/>
    <s v=""/>
    <s v=""/>
    <s v=""/>
    <s v=""/>
    <s v=""/>
    <s v="217.732.5155"/>
    <s v=""/>
    <s v=""/>
    <s v=""/>
    <s v=""/>
    <s v=""/>
    <s v=""/>
    <s v=""/>
    <s v=""/>
    <s v=""/>
    <s v=""/>
    <s v="371616Newsletter Recipient"/>
    <m/>
    <x v="0"/>
  </r>
  <r>
    <n v="39460366"/>
    <b v="0"/>
    <b v="0"/>
    <b v="0"/>
    <b v="1"/>
    <b v="0"/>
    <b v="1"/>
    <b v="1"/>
    <b v="0"/>
    <b v="0"/>
    <n v="0"/>
    <n v="0"/>
    <m/>
    <d v="2017-06-26T00:00:00"/>
    <n v="32127162"/>
    <d v="2017-06-26T00:00:00"/>
    <m/>
    <m/>
    <s v=""/>
    <b v="0"/>
    <m/>
    <m/>
    <d v="2017-06-26T00:00:00"/>
    <m/>
    <n v="791522"/>
    <b v="1"/>
    <m/>
    <m/>
    <m/>
    <x v="0"/>
    <b v="1"/>
    <n v="39460366"/>
    <s v="Sheri"/>
    <s v="Cohen"/>
    <s v="Chicago Department of Public Health"/>
    <s v=""/>
    <s v=""/>
    <s v="sheri.cohen@cityofchicago.org"/>
    <s v=""/>
    <s v=""/>
    <s v=""/>
    <s v=""/>
    <s v=""/>
    <s v=""/>
    <s v=""/>
    <s v=""/>
    <s v=""/>
    <s v=""/>
    <s v=""/>
    <s v=""/>
    <s v=""/>
    <s v=""/>
    <s v=""/>
    <s v=""/>
    <s v="371616Newsletter Recipient"/>
    <m/>
    <x v="0"/>
  </r>
  <r>
    <n v="37822590"/>
    <b v="0"/>
    <b v="0"/>
    <b v="0"/>
    <b v="1"/>
    <b v="0"/>
    <b v="1"/>
    <b v="1"/>
    <b v="0"/>
    <b v="0"/>
    <n v="0"/>
    <n v="0"/>
    <m/>
    <d v="2017-02-24T00:00:00"/>
    <n v="32127162"/>
    <d v="2017-02-24T00:00:00"/>
    <m/>
    <m/>
    <s v=""/>
    <b v="0"/>
    <m/>
    <m/>
    <d v="2017-02-24T00:00:00"/>
    <m/>
    <n v="791522"/>
    <b v="1"/>
    <m/>
    <m/>
    <m/>
    <x v="0"/>
    <b v="1"/>
    <n v="37822590"/>
    <s v="Dan"/>
    <s v="Coleman"/>
    <s v="Merck Managed Care"/>
    <s v=""/>
    <s v=""/>
    <s v="daniel.coleman@merck.com"/>
    <s v=""/>
    <s v=""/>
    <s v=""/>
    <s v=""/>
    <s v="(708) 921-6953"/>
    <s v=""/>
    <s v=""/>
    <s v=""/>
    <s v="Account Executive"/>
    <s v=""/>
    <s v=""/>
    <s v=""/>
    <s v=""/>
    <s v=""/>
    <s v=""/>
    <s v=""/>
    <s v="371616Newsletter Recipient"/>
    <m/>
    <x v="0"/>
  </r>
  <r>
    <n v="43488389"/>
    <b v="0"/>
    <b v="0"/>
    <b v="0"/>
    <b v="1"/>
    <b v="0"/>
    <b v="1"/>
    <b v="1"/>
    <b v="0"/>
    <b v="0"/>
    <n v="0"/>
    <n v="0"/>
    <m/>
    <d v="2018-06-22T00:00:00"/>
    <n v="32127162"/>
    <d v="2018-01-29T00:00:00"/>
    <m/>
    <m/>
    <s v=""/>
    <b v="0"/>
    <m/>
    <m/>
    <d v="2018-01-28T00:00:00"/>
    <m/>
    <n v="791522"/>
    <b v="1"/>
    <m/>
    <d v="2018-01-29T00:00:00"/>
    <m/>
    <x v="0"/>
    <b v="1"/>
    <n v="43488389"/>
    <s v="Sylvia"/>
    <s v="Coleman"/>
    <s v="NextLevel Health"/>
    <s v=""/>
    <s v=""/>
    <s v="sylvia.coleman@nlhpartners.com"/>
    <s v="312.300.5780 x282"/>
    <s v=""/>
    <s v=""/>
    <s v=""/>
    <s v=""/>
    <s v=""/>
    <s v=""/>
    <s v=""/>
    <s v=""/>
    <s v=""/>
    <s v=""/>
    <s v=""/>
    <s v=""/>
    <s v=""/>
    <s v=""/>
    <s v=""/>
    <s v="371616Newsletter Recipient"/>
    <m/>
    <x v="0"/>
  </r>
  <r>
    <n v="43277065"/>
    <b v="0"/>
    <b v="0"/>
    <b v="0"/>
    <b v="1"/>
    <b v="0"/>
    <b v="1"/>
    <b v="1"/>
    <b v="0"/>
    <b v="0"/>
    <n v="0"/>
    <n v="0"/>
    <m/>
    <d v="2018-02-12T00:00:00"/>
    <n v="32127162"/>
    <d v="2018-01-16T00:00:00"/>
    <m/>
    <m/>
    <s v=""/>
    <b v="0"/>
    <m/>
    <m/>
    <d v="2018-01-16T00:00:00"/>
    <m/>
    <n v="791522"/>
    <b v="1"/>
    <m/>
    <d v="2018-01-16T00:00:00"/>
    <m/>
    <x v="0"/>
    <b v="1"/>
    <n v="43277065"/>
    <s v="Wheeler"/>
    <s v="Coleman"/>
    <s v="besafemeds/Q-Me 24-7"/>
    <s v=""/>
    <s v=""/>
    <s v="wcoleman@besafemeds.com"/>
    <s v="773-633-0892"/>
    <s v=""/>
    <s v=""/>
    <s v=""/>
    <s v=""/>
    <s v=""/>
    <s v=""/>
    <s v="besafemeds/Q-Me 24-7"/>
    <s v="CEO"/>
    <s v=""/>
    <s v=""/>
    <s v=""/>
    <s v=""/>
    <s v=""/>
    <s v=""/>
    <s v=""/>
    <s v="371616Newsletter Recipient, 372311Business Member"/>
    <m/>
    <x v="0"/>
  </r>
  <r>
    <n v="37984361"/>
    <b v="0"/>
    <b v="0"/>
    <b v="0"/>
    <b v="1"/>
    <b v="0"/>
    <b v="1"/>
    <b v="1"/>
    <b v="0"/>
    <b v="0"/>
    <n v="0"/>
    <n v="0"/>
    <m/>
    <d v="2017-06-21T00:00:00"/>
    <n v="32127162"/>
    <d v="2017-03-08T00:00:00"/>
    <m/>
    <m/>
    <s v=""/>
    <b v="0"/>
    <m/>
    <m/>
    <d v="2017-03-08T00:00:00"/>
    <m/>
    <n v="791522"/>
    <b v="1"/>
    <m/>
    <m/>
    <m/>
    <x v="0"/>
    <b v="1"/>
    <n v="37984361"/>
    <s v="Alice"/>
    <s v="Collins"/>
    <s v="Cook County Health and Hospitals System"/>
    <s v=""/>
    <s v=""/>
    <s v="acollins3@cookcountyhhs.org"/>
    <s v="7086333602"/>
    <s v=""/>
    <s v=""/>
    <s v=""/>
    <s v=""/>
    <s v=""/>
    <s v=""/>
    <s v=""/>
    <s v="Community Outreach Worker"/>
    <s v=""/>
    <s v=""/>
    <s v=""/>
    <s v=""/>
    <s v=""/>
    <s v=""/>
    <s v=""/>
    <s v="371616Newsletter Recipient"/>
    <m/>
    <x v="0"/>
  </r>
  <r>
    <n v="37819485"/>
    <b v="0"/>
    <b v="0"/>
    <b v="0"/>
    <b v="1"/>
    <b v="0"/>
    <b v="1"/>
    <b v="1"/>
    <b v="0"/>
    <b v="0"/>
    <n v="0"/>
    <n v="0"/>
    <m/>
    <d v="2017-02-24T00:00:00"/>
    <n v="32127162"/>
    <d v="2017-02-24T00:00:00"/>
    <m/>
    <m/>
    <s v=""/>
    <b v="0"/>
    <m/>
    <m/>
    <d v="2017-02-23T00:00:00"/>
    <m/>
    <n v="791522"/>
    <b v="1"/>
    <m/>
    <m/>
    <m/>
    <x v="0"/>
    <b v="1"/>
    <n v="37819485"/>
    <s v="Crystal"/>
    <s v="Collins"/>
    <s v="Molina Healthcare of Illinois, Inc."/>
    <s v=""/>
    <s v=""/>
    <s v="Crystal.Collins@MolinaHealthCare.com"/>
    <s v=""/>
    <s v=""/>
    <s v=""/>
    <s v=""/>
    <s v=""/>
    <s v=""/>
    <s v=""/>
    <s v=""/>
    <s v=""/>
    <s v=""/>
    <s v=""/>
    <s v=""/>
    <s v=""/>
    <s v=""/>
    <s v=""/>
    <s v=""/>
    <s v="371616Newsletter Recipient"/>
    <m/>
    <x v="0"/>
  </r>
  <r>
    <n v="43419429"/>
    <b v="0"/>
    <b v="0"/>
    <b v="0"/>
    <b v="1"/>
    <b v="0"/>
    <b v="1"/>
    <b v="1"/>
    <b v="0"/>
    <b v="0"/>
    <n v="0"/>
    <n v="0"/>
    <m/>
    <d v="2018-05-29T00:00:00"/>
    <n v="32127162"/>
    <d v="2018-01-22T00:00:00"/>
    <m/>
    <m/>
    <s v=""/>
    <b v="0"/>
    <m/>
    <m/>
    <d v="2018-01-22T00:00:00"/>
    <m/>
    <n v="791522"/>
    <b v="1"/>
    <m/>
    <d v="2018-01-22T00:00:00"/>
    <m/>
    <x v="0"/>
    <b v="1"/>
    <n v="43419429"/>
    <s v="Garfield"/>
    <s v="Collins"/>
    <s v="NextLevel Health"/>
    <s v=""/>
    <s v=""/>
    <s v="garfield.collins@nlhpartners.com"/>
    <s v=""/>
    <s v=""/>
    <s v=""/>
    <s v=""/>
    <s v=""/>
    <s v=""/>
    <s v=""/>
    <s v=""/>
    <s v=""/>
    <s v=""/>
    <s v=""/>
    <s v=""/>
    <s v=""/>
    <s v=""/>
    <s v=""/>
    <s v=""/>
    <s v="335736Provider Relations - Committee Members, 335743Chief Operating Officer, 371616Newsletter Recipient, 372294Finance Committee, 372297Operations Committee, 372298Operations Transportation Subcommittee, 447857HFS Ops Workgroup"/>
    <m/>
    <x v="0"/>
  </r>
  <r>
    <n v="37770433"/>
    <b v="0"/>
    <b v="0"/>
    <b v="0"/>
    <b v="1"/>
    <b v="0"/>
    <b v="1"/>
    <b v="1"/>
    <b v="0"/>
    <b v="0"/>
    <n v="0"/>
    <n v="0"/>
    <m/>
    <d v="2017-02-24T00:00:00"/>
    <n v="32127162"/>
    <d v="2017-02-20T00:00:00"/>
    <m/>
    <m/>
    <s v=""/>
    <b v="0"/>
    <m/>
    <m/>
    <d v="2017-02-20T00:00:00"/>
    <m/>
    <n v="791522"/>
    <b v="1"/>
    <m/>
    <m/>
    <m/>
    <x v="0"/>
    <b v="1"/>
    <n v="37770433"/>
    <s v="Jacqueline"/>
    <s v="Collins"/>
    <s v="Illinois General Assembly"/>
    <s v=""/>
    <s v="Senator Jacqueline Y. Collins (D)_x000a_16th District_x0009__x000a__x000a_Springfield Office:_x000a_Senator 16th District_x000a_M114 Capitol Building_x000a_Springfield, IL   62706_x000a_(217) 782-1607_x000a_(217) 782-2115 FAX_x000a_ _x000a_District Office:_x000a_1155 West 79th Street_x000a_Chicago, IL  60620_x000a_(773) 224-2830_x000a_(773) 224-2855 FAX"/>
    <s v=""/>
    <s v=""/>
    <s v=""/>
    <s v=""/>
    <s v=""/>
    <s v=""/>
    <s v="(217) 782-1607"/>
    <s v=""/>
    <s v=""/>
    <s v=""/>
    <s v=""/>
    <s v=""/>
    <s v=""/>
    <s v=""/>
    <s v=""/>
    <s v=""/>
    <s v=""/>
    <s v="371609Senator, 371616Newsletter Recipient"/>
    <m/>
    <x v="0"/>
  </r>
  <r>
    <n v="37770440"/>
    <b v="0"/>
    <b v="0"/>
    <b v="0"/>
    <b v="1"/>
    <b v="0"/>
    <b v="1"/>
    <b v="1"/>
    <b v="0"/>
    <b v="0"/>
    <n v="0"/>
    <n v="0"/>
    <m/>
    <d v="2017-02-24T00:00:00"/>
    <n v="32127162"/>
    <d v="2017-02-20T00:00:00"/>
    <m/>
    <m/>
    <s v=""/>
    <b v="0"/>
    <m/>
    <m/>
    <d v="2017-02-20T00:00:00"/>
    <m/>
    <n v="791522"/>
    <b v="1"/>
    <m/>
    <m/>
    <m/>
    <x v="0"/>
    <b v="1"/>
    <n v="37770440"/>
    <s v="Michael"/>
    <s v="Connelly"/>
    <s v="Illinois General Assembly"/>
    <s v=""/>
    <s v="Senator Michael Connelly (R)_x000a_21st District _x0009__x000a__x000a_Springfield Office:_x000a_Senator 21st District_x000a_309 I Capitol Building_x000a_Springfield, IL   62706_x000a_(217) 782-8192_x000a_(217) 782-9586 FAX_x000a_ _x000a_District Office:_x000a_552 S. Washington Street_x000a_Suite 104_x000a_Naperville, IL  60540_x000a_(630) 453-5488"/>
    <s v=""/>
    <s v=""/>
    <s v=""/>
    <s v=""/>
    <s v=""/>
    <s v=""/>
    <s v="(217) 782-8192"/>
    <s v=""/>
    <s v=""/>
    <s v=""/>
    <s v=""/>
    <s v=""/>
    <s v=""/>
    <s v=""/>
    <s v=""/>
    <s v=""/>
    <s v=""/>
    <s v="371609Senator, 371616Newsletter Recipient"/>
    <m/>
    <x v="0"/>
  </r>
  <r>
    <n v="37778694"/>
    <b v="0"/>
    <b v="0"/>
    <b v="0"/>
    <b v="1"/>
    <b v="0"/>
    <b v="1"/>
    <b v="1"/>
    <b v="0"/>
    <b v="0"/>
    <n v="0"/>
    <n v="0"/>
    <m/>
    <d v="2017-02-24T00:00:00"/>
    <n v="32127162"/>
    <d v="2017-02-20T00:00:00"/>
    <m/>
    <m/>
    <s v=""/>
    <b v="0"/>
    <m/>
    <m/>
    <d v="2017-02-20T00:00:00"/>
    <m/>
    <n v="791522"/>
    <b v="1"/>
    <m/>
    <m/>
    <m/>
    <x v="0"/>
    <b v="1"/>
    <n v="37778694"/>
    <s v="Deb"/>
    <s v="Conroy"/>
    <s v="Illinois General Assembly"/>
    <s v=""/>
    <s v="Representative Deb Conroy (D)_x000a_46th District_x000a__x000a_Photograph of  Representative  Deb Conroy (D)_x0009_ _x0009__x000a__x000a_Springfield Office:_x000a_275-S Stratton Office Building_x000a_Springfield, IL   62706_x000a_(217) 782-8158_x000a_(217) 524-0435 FAX_x000a__x000a_District Office:_x000a_28 S. Villa Ave._x000a_Villa Park, IL  60181_x000a_(630) 415-3520_x000a_(630) 415-3522 FAX"/>
    <s v="repdebconroy@gmail.com"/>
    <s v=""/>
    <s v=""/>
    <s v=""/>
    <s v=""/>
    <s v=""/>
    <s v=""/>
    <s v=""/>
    <s v=""/>
    <s v=""/>
    <s v=""/>
    <s v=""/>
    <s v=""/>
    <s v=""/>
    <s v=""/>
    <s v=""/>
    <s v=""/>
    <s v="371616Newsletter Recipient, 371627House of Representatives"/>
    <m/>
    <x v="0"/>
  </r>
  <r>
    <n v="37778702"/>
    <b v="0"/>
    <b v="0"/>
    <b v="0"/>
    <b v="1"/>
    <b v="0"/>
    <b v="1"/>
    <b v="1"/>
    <b v="0"/>
    <b v="0"/>
    <n v="0"/>
    <n v="0"/>
    <m/>
    <d v="2017-02-24T00:00:00"/>
    <n v="32127162"/>
    <d v="2017-02-20T00:00:00"/>
    <m/>
    <m/>
    <s v=""/>
    <b v="0"/>
    <m/>
    <m/>
    <d v="2017-02-20T00:00:00"/>
    <m/>
    <n v="791522"/>
    <b v="1"/>
    <m/>
    <m/>
    <m/>
    <x v="0"/>
    <b v="1"/>
    <n v="37778702"/>
    <s v="Melissa"/>
    <s v="Conyears-Ervin"/>
    <s v="Illinois General Assembly"/>
    <s v=""/>
    <s v="Representative Melissa Conyears-Ervin (D)_x000a_10th District_x0009_ _x0009__x000a__x000a_Springfield Office:_x000a_252-W Stratton Office Building_x000a_Springfield, IL   62706_x000a_(217) 782-8077_x000a__x000a_District Office:_x000a_115 N. Damen Ave._x000a_Chicago, IL  60612_x000a_(773) 417-1020_x000a_(773) 417-1040 FAX"/>
    <s v="Rep@ConyearsErvin.com"/>
    <s v=""/>
    <s v=""/>
    <s v=""/>
    <s v=""/>
    <s v=""/>
    <s v=""/>
    <s v=""/>
    <s v=""/>
    <s v=""/>
    <s v=""/>
    <s v=""/>
    <s v=""/>
    <s v=""/>
    <s v=""/>
    <s v=""/>
    <s v=""/>
    <s v="371616Newsletter Recipient, 371627House of Representatives"/>
    <m/>
    <x v="0"/>
  </r>
  <r>
    <n v="39194809"/>
    <b v="0"/>
    <b v="0"/>
    <b v="0"/>
    <b v="1"/>
    <b v="0"/>
    <b v="1"/>
    <b v="1"/>
    <b v="0"/>
    <b v="0"/>
    <n v="0"/>
    <n v="0"/>
    <m/>
    <d v="2017-06-21T00:00:00"/>
    <n v="32127162"/>
    <d v="2017-06-02T00:00:00"/>
    <m/>
    <m/>
    <s v=""/>
    <b v="0"/>
    <m/>
    <m/>
    <d v="2017-06-02T00:00:00"/>
    <m/>
    <n v="791522"/>
    <b v="1"/>
    <m/>
    <m/>
    <m/>
    <x v="0"/>
    <b v="1"/>
    <n v="39194809"/>
    <s v="Becky"/>
    <s v="Cook Kendall"/>
    <s v="Rockford Regional Health Council"/>
    <s v=""/>
    <s v="Becky Cook Kendall| EXECUTIVE DIRECTOR_x000a_ROCKFORD REGIONAL HEALTH COUNCIL | 1601 Parkview Avenue, Suite 100 | Rockford, IL 61107_x000a_P: 815.395.5701 | F: 815.395.5706_x000a_becky@rockfordhealth.org |www.rockfordhealth.org"/>
    <s v="becky@rockfordhealth.org"/>
    <s v=""/>
    <s v=""/>
    <s v=""/>
    <s v=""/>
    <s v=""/>
    <s v="815.395.5701"/>
    <s v="815.395.5706"/>
    <s v=""/>
    <s v=""/>
    <s v=""/>
    <s v=""/>
    <s v=""/>
    <s v=""/>
    <s v=""/>
    <s v=""/>
    <s v=""/>
    <s v="371616Newsletter Recipient"/>
    <m/>
    <x v="0"/>
  </r>
  <r>
    <n v="34033544"/>
    <b v="0"/>
    <b v="0"/>
    <b v="0"/>
    <b v="1"/>
    <b v="0"/>
    <b v="1"/>
    <b v="1"/>
    <b v="0"/>
    <b v="0"/>
    <n v="0"/>
    <n v="0"/>
    <m/>
    <d v="2018-03-26T00:00:00"/>
    <n v="32127162"/>
    <d v="2016-08-23T00:00:00"/>
    <m/>
    <m/>
    <s v=""/>
    <b v="0"/>
    <m/>
    <m/>
    <d v="2016-08-23T00:00:00"/>
    <m/>
    <n v="791522"/>
    <b v="1"/>
    <m/>
    <m/>
    <m/>
    <x v="0"/>
    <b v="1"/>
    <n v="34033544"/>
    <s v="Lisa"/>
    <s v="Cook"/>
    <s v="Humana"/>
    <s v=""/>
    <s v=""/>
    <s v="Lisa.Cook@beaconhs.com"/>
    <s v="217-337-8117"/>
    <s v=""/>
    <s v=""/>
    <s v=""/>
    <s v=""/>
    <s v=""/>
    <s v=""/>
    <s v=""/>
    <s v=""/>
    <s v=""/>
    <s v=""/>
    <s v=""/>
    <s v=""/>
    <s v=""/>
    <s v=""/>
    <s v=""/>
    <s v="371616Newsletter Recipient, 420923Community Mental Health - Contracts, 420924Community Mental Health - Claims &amp; Billing, 420925Community Mental Health - Care Coordination, 420944Mental Health - Contracts, 420945Mental Health - Claims &amp; Billing, 420946Mental Health - Care Coordination, 420947Methadone Treatment - Contracts, 420948Methadone Treatment - Claims &amp; Billing, 420949Methadone Treatment - Care Coordination, 420960Substance Use Disorder - Contracts, 420961Substance Use Disorder - Claims &amp; Billing, 420962Substance Use Disorder - Care Coordination"/>
    <s v="10633525Contracts, 10633526Claims/Billing, 10633527Care Coordination"/>
    <x v="0"/>
  </r>
  <r>
    <n v="37819487"/>
    <b v="0"/>
    <b v="0"/>
    <b v="0"/>
    <b v="1"/>
    <b v="0"/>
    <b v="1"/>
    <b v="1"/>
    <b v="0"/>
    <b v="0"/>
    <n v="0"/>
    <n v="0"/>
    <m/>
    <d v="2017-02-24T00:00:00"/>
    <n v="32127162"/>
    <d v="2017-02-24T00:00:00"/>
    <m/>
    <m/>
    <s v=""/>
    <b v="0"/>
    <m/>
    <m/>
    <d v="2017-02-23T00:00:00"/>
    <m/>
    <n v="791522"/>
    <b v="1"/>
    <m/>
    <m/>
    <m/>
    <x v="0"/>
    <b v="1"/>
    <n v="37819487"/>
    <s v="Esther"/>
    <s v="Corpuz"/>
    <s v="Alivio Medical Center"/>
    <s v=""/>
    <s v=""/>
    <s v="ecorpuz@aliviomedicalcenter.org"/>
    <s v=""/>
    <s v=""/>
    <s v=""/>
    <s v=""/>
    <s v=""/>
    <s v=""/>
    <s v=""/>
    <s v=""/>
    <s v="President and CEO"/>
    <s v=""/>
    <s v=""/>
    <s v=""/>
    <s v=""/>
    <s v=""/>
    <s v=""/>
    <s v=""/>
    <s v="371616Newsletter Recipient"/>
    <m/>
    <x v="0"/>
  </r>
  <r>
    <n v="37778708"/>
    <b v="0"/>
    <b v="0"/>
    <b v="0"/>
    <b v="1"/>
    <b v="0"/>
    <b v="1"/>
    <b v="1"/>
    <b v="0"/>
    <b v="0"/>
    <n v="0"/>
    <n v="0"/>
    <m/>
    <d v="2017-02-24T00:00:00"/>
    <n v="32127162"/>
    <d v="2017-02-20T00:00:00"/>
    <m/>
    <m/>
    <s v=""/>
    <b v="0"/>
    <m/>
    <m/>
    <d v="2017-02-20T00:00:00"/>
    <m/>
    <n v="791522"/>
    <b v="1"/>
    <m/>
    <m/>
    <m/>
    <x v="0"/>
    <b v="1"/>
    <n v="37778708"/>
    <s v="Jerry"/>
    <s v="Costello"/>
    <s v="Illinois General Assembly"/>
    <s v=""/>
    <s v="Representative Jerry Costello, II (D)_x000a_116th District_x0009_ _x0009__x000a__x000a_Springfield Office:_x000a_200-7S Stratton Office Building_x000a_Springfield, IL   62706_x000a_(217) 782-1018_x000a_(217) 558-4502 FAX_x000a__x000a_District Office:_x000a_124 Locust Street_x000a_Red Bud, IL  62278_x000a_(618) 282-7284_x000a_(618) 282-7286 FAX"/>
    <s v="staterepcostello@gmail.com"/>
    <s v=""/>
    <s v=""/>
    <s v=""/>
    <s v=""/>
    <s v=""/>
    <s v=""/>
    <s v=""/>
    <s v=""/>
    <s v=""/>
    <s v=""/>
    <s v=""/>
    <s v=""/>
    <s v=""/>
    <s v=""/>
    <s v=""/>
    <s v=""/>
    <s v="371616Newsletter Recipient, 371627House of Representatives"/>
    <m/>
    <x v="0"/>
  </r>
  <r>
    <n v="44026823"/>
    <b v="0"/>
    <b v="0"/>
    <b v="0"/>
    <b v="1"/>
    <b v="0"/>
    <b v="1"/>
    <b v="1"/>
    <b v="0"/>
    <b v="0"/>
    <n v="0"/>
    <n v="0"/>
    <m/>
    <d v="2018-03-02T00:00:00"/>
    <n v="32127162"/>
    <d v="2018-03-02T00:00:00"/>
    <m/>
    <m/>
    <s v=""/>
    <b v="0"/>
    <m/>
    <m/>
    <d v="2018-03-02T00:00:00"/>
    <m/>
    <n v="791522"/>
    <b v="1"/>
    <m/>
    <d v="2018-03-02T00:00:00"/>
    <m/>
    <x v="0"/>
    <b v="1"/>
    <n v="44026823"/>
    <s v=""/>
    <s v="CountyCare Care Coordination"/>
    <s v="CountyCare Health Plan"/>
    <s v=""/>
    <s v=""/>
    <s v="countycarereferrals@cookcountyhhs.org"/>
    <s v="(312) 864-8200"/>
    <s v=""/>
    <s v=""/>
    <s v=""/>
    <s v=""/>
    <s v=""/>
    <s v=""/>
    <s v=""/>
    <s v=""/>
    <s v=""/>
    <s v=""/>
    <s v=""/>
    <s v=""/>
    <s v=""/>
    <s v=""/>
    <s v=""/>
    <s v="336131Children's Services - Care Coordination, 420925Community Mental Health - Care Coordination, 420928Dental - Care Coordination, 420931Durable Medical Equipment - Care Coordination, 420934FQHC - Care Coordination, 420937Home Health - Care Coordination, 420940Hospice - Care Coordination, 420943Hospitals - Care Coordination, 420946Mental Health - Care Coordination, 420949Methadone Treatment - Care Coordination, 420952Physicians - Care Coordination, 420955Public Health Department - Care Coordination, 420959Redetermination Point Person - Care Coordination, 420962Substance Use Disorder - Care Coordination, 420972Pharmacy/Pharmaceuticals - Care Coordination, 420989LTC - Care Coordination"/>
    <s v="10633527Care Coordination"/>
    <x v="0"/>
  </r>
  <r>
    <n v="44026871"/>
    <b v="0"/>
    <b v="0"/>
    <b v="0"/>
    <b v="1"/>
    <b v="0"/>
    <b v="1"/>
    <b v="1"/>
    <b v="0"/>
    <b v="0"/>
    <n v="0"/>
    <n v="0"/>
    <m/>
    <d v="2018-06-29T00:00:00"/>
    <n v="32127162"/>
    <d v="2018-03-02T00:00:00"/>
    <m/>
    <m/>
    <s v=""/>
    <b v="0"/>
    <m/>
    <m/>
    <d v="2018-03-02T00:00:00"/>
    <m/>
    <n v="791522"/>
    <b v="1"/>
    <m/>
    <d v="2018-03-02T00:00:00"/>
    <m/>
    <x v="0"/>
    <b v="1"/>
    <n v="44026871"/>
    <s v=""/>
    <s v="CountyCare Contracting"/>
    <s v="CountyCare Health Plan"/>
    <s v=""/>
    <s v=""/>
    <s v="countycarecontracting@cookcountyhhs.org"/>
    <s v="(312) 864-1180"/>
    <s v=""/>
    <s v=""/>
    <s v=""/>
    <s v=""/>
    <s v=""/>
    <s v=""/>
    <s v=""/>
    <s v=""/>
    <s v=""/>
    <s v=""/>
    <s v=""/>
    <s v=""/>
    <s v=""/>
    <s v=""/>
    <s v=""/>
    <s v="420923Community Mental Health - Contracts, 420929Durable Medical Equipment - Contracts, 420932FQHC - Contracts, 420935Home Health - Contracts, 420938Hospice - Contracts, 420941Hospitals - Contracts, 420944Mental Health - Contracts, 420947Methadone Treatment - Contracts, 420950Physicians - Contracts, 420953Public Health Department - Contracts, 420957Redetermination Point Person - Contracts, 420960Substance Use Disorder - Contracts, 420967Transportation - Contracts, 420973Children's Services - Contracts, 420987LTC - Contracts"/>
    <s v="10633525Contracts"/>
    <x v="0"/>
  </r>
  <r>
    <n v="39530314"/>
    <b v="0"/>
    <b v="0"/>
    <b v="0"/>
    <b v="1"/>
    <b v="0"/>
    <b v="1"/>
    <b v="1"/>
    <b v="0"/>
    <b v="0"/>
    <n v="0"/>
    <n v="0"/>
    <m/>
    <d v="2018-03-02T00:00:00"/>
    <n v="32127162"/>
    <d v="2017-06-27T00:00:00"/>
    <m/>
    <m/>
    <s v=""/>
    <b v="0"/>
    <m/>
    <m/>
    <d v="2017-06-27T00:00:00"/>
    <m/>
    <n v="791522"/>
    <b v="1"/>
    <m/>
    <m/>
    <m/>
    <x v="0"/>
    <b v="1"/>
    <n v="39530314"/>
    <s v=""/>
    <s v="CountyCare Provider Services"/>
    <s v="CountyCare Health Plan"/>
    <s v=""/>
    <s v="http://www.countycare.com/providers/resources"/>
    <s v="providerservices@countycare.com"/>
    <s v="312-864-8200, option 6"/>
    <s v=""/>
    <s v=""/>
    <s v=""/>
    <s v=""/>
    <s v=""/>
    <s v=""/>
    <s v=""/>
    <s v=""/>
    <s v=""/>
    <s v=""/>
    <s v=""/>
    <s v=""/>
    <s v=""/>
    <s v=""/>
    <s v=""/>
    <s v="420924Community Mental Health - Claims &amp; Billing, 420930Durable Medical Equipment - Claims &amp; Billing, 420933FQHC - Claims &amp; Billing, 420936Home Health - Claims &amp; Billing, 420939Hospice - Claims &amp; Billing, 420942Hospitals - Claims &amp; Billing, 420945Mental Health - Claims &amp; Billing, 420948Methadone Treatment - Claims &amp; Billing, 420951Physicians - Claims &amp; Billing, 420954Public Health Department - Claims &amp; Billing, 420958Redetermination Point Person - Claims &amp; Billing, 420961Substance Use Disorder - Claims &amp; Billing, 420968Transportation - Claims &amp; Billing, 420974Children's Services - Claims &amp; Billing, 420988LTC - Claims &amp; Billing"/>
    <s v="10633526Claims/Billing"/>
    <x v="0"/>
  </r>
  <r>
    <n v="42698698"/>
    <b v="0"/>
    <b v="0"/>
    <b v="1"/>
    <b v="1"/>
    <b v="0"/>
    <b v="1"/>
    <b v="1"/>
    <b v="0"/>
    <b v="0"/>
    <n v="0"/>
    <n v="0"/>
    <m/>
    <d v="2017-11-20T00:00:00"/>
    <n v="32127162"/>
    <d v="2017-11-20T00:00:00"/>
    <m/>
    <m/>
    <s v=""/>
    <b v="0"/>
    <m/>
    <m/>
    <d v="2017-11-20T00:00:00"/>
    <m/>
    <n v="791522"/>
    <b v="1"/>
    <m/>
    <d v="2017-11-20T00:00:00"/>
    <m/>
    <x v="0"/>
    <b v="1"/>
    <n v="42698698"/>
    <s v="Susan"/>
    <s v="Cowen"/>
    <s v="Kenneth Young Center"/>
    <s v="CEO"/>
    <s v=""/>
    <s v="Susanc@kennethyoung.org"/>
    <s v="3129199380"/>
    <s v=""/>
    <s v=""/>
    <s v=""/>
    <s v=""/>
    <s v=""/>
    <s v=""/>
    <s v="Kenneth Young Center"/>
    <s v="CEO"/>
    <s v=""/>
    <s v=""/>
    <s v=""/>
    <s v=""/>
    <s v=""/>
    <s v=""/>
    <s v=""/>
    <s v="371616Newsletter Recipient"/>
    <m/>
    <x v="0"/>
  </r>
  <r>
    <n v="37819489"/>
    <b v="0"/>
    <b v="0"/>
    <b v="0"/>
    <b v="1"/>
    <b v="0"/>
    <b v="1"/>
    <b v="1"/>
    <b v="0"/>
    <b v="0"/>
    <n v="0"/>
    <n v="0"/>
    <m/>
    <d v="2017-02-24T00:00:00"/>
    <n v="32127162"/>
    <d v="2017-02-24T00:00:00"/>
    <m/>
    <m/>
    <s v=""/>
    <b v="0"/>
    <m/>
    <m/>
    <d v="2017-02-23T00:00:00"/>
    <m/>
    <n v="791522"/>
    <b v="1"/>
    <m/>
    <m/>
    <m/>
    <x v="0"/>
    <b v="1"/>
    <n v="37819489"/>
    <s v="Greg"/>
    <s v="Cox"/>
    <s v="C and G"/>
    <s v=""/>
    <s v=""/>
    <s v="greg@candgconsult.com"/>
    <s v=""/>
    <s v=""/>
    <s v=""/>
    <s v=""/>
    <s v=""/>
    <s v=""/>
    <s v=""/>
    <s v=""/>
    <s v="Partner"/>
    <s v=""/>
    <s v=""/>
    <s v=""/>
    <s v=""/>
    <s v=""/>
    <s v=""/>
    <s v=""/>
    <s v="371616Newsletter Recipient, 372296Legislative Committee"/>
    <m/>
    <x v="0"/>
  </r>
  <r>
    <n v="37819514"/>
    <b v="0"/>
    <b v="0"/>
    <b v="0"/>
    <b v="1"/>
    <b v="0"/>
    <b v="1"/>
    <b v="1"/>
    <b v="0"/>
    <b v="0"/>
    <n v="0"/>
    <n v="0"/>
    <m/>
    <d v="2017-02-24T00:00:00"/>
    <n v="32127162"/>
    <d v="2017-02-24T00:00:00"/>
    <m/>
    <m/>
    <s v=""/>
    <b v="0"/>
    <m/>
    <m/>
    <d v="2017-02-24T00:00:00"/>
    <m/>
    <n v="791522"/>
    <b v="1"/>
    <m/>
    <m/>
    <m/>
    <x v="0"/>
    <b v="1"/>
    <n v="37819514"/>
    <s v="Mary Jo"/>
    <s v="Coyne"/>
    <s v="Molina Healthcare of Illinois, Inc."/>
    <s v=""/>
    <s v=""/>
    <s v="MaryJo.Coyne@MolinaHealthCare.com"/>
    <s v=""/>
    <s v=""/>
    <s v=""/>
    <s v=""/>
    <s v=""/>
    <s v=""/>
    <s v=""/>
    <s v=""/>
    <s v=""/>
    <s v=""/>
    <s v=""/>
    <s v=""/>
    <s v=""/>
    <s v=""/>
    <s v=""/>
    <s v=""/>
    <s v="371616Newsletter Recipient"/>
    <m/>
    <x v="0"/>
  </r>
  <r>
    <n v="41056944"/>
    <b v="0"/>
    <b v="0"/>
    <b v="0"/>
    <b v="1"/>
    <b v="0"/>
    <b v="1"/>
    <b v="1"/>
    <b v="0"/>
    <b v="0"/>
    <n v="0"/>
    <n v="0"/>
    <m/>
    <d v="2017-09-25T00:00:00"/>
    <n v="32127162"/>
    <d v="2017-08-18T00:00:00"/>
    <m/>
    <m/>
    <s v=""/>
    <b v="0"/>
    <m/>
    <m/>
    <d v="2017-09-25T00:00:00"/>
    <m/>
    <n v="791522"/>
    <b v="1"/>
    <m/>
    <d v="2017-09-25T00:00:00"/>
    <m/>
    <x v="0"/>
    <b v="1"/>
    <n v="41056944"/>
    <s v="Diane"/>
    <s v="Creal"/>
    <s v="IncisiveCare, LLC"/>
    <s v="RN, MS - Principal"/>
    <s v=""/>
    <s v="dcreal@incisivecare.com"/>
    <s v="630-930-9893"/>
    <s v=""/>
    <s v=""/>
    <s v="diane.creal@gmail.com"/>
    <s v=""/>
    <s v=""/>
    <s v=""/>
    <s v=""/>
    <s v=""/>
    <s v=""/>
    <s v=""/>
    <s v="BEP"/>
    <s v="2928 Birch Road"/>
    <s v="Homewood"/>
    <s v="IL"/>
    <s v="60430"/>
    <s v="371616Newsletter Recipient"/>
    <m/>
    <x v="0"/>
  </r>
  <r>
    <n v="37778713"/>
    <b v="0"/>
    <b v="0"/>
    <b v="0"/>
    <b v="1"/>
    <b v="0"/>
    <b v="1"/>
    <b v="1"/>
    <b v="0"/>
    <b v="0"/>
    <n v="0"/>
    <n v="0"/>
    <m/>
    <d v="2017-02-20T00:00:00"/>
    <n v="32127162"/>
    <d v="2017-02-20T00:00:00"/>
    <m/>
    <m/>
    <s v=""/>
    <b v="0"/>
    <m/>
    <m/>
    <d v="2017-02-20T00:00:00"/>
    <m/>
    <n v="791522"/>
    <b v="1"/>
    <m/>
    <m/>
    <m/>
    <x v="0"/>
    <b v="1"/>
    <n v="37778713"/>
    <s v="Fred"/>
    <s v="Crespo"/>
    <s v="Illinois General Assembly"/>
    <s v=""/>
    <s v="Representative Fred Crespo (D)_x000a_44th District _x0009__x000a__x000a_Springfield Office:_x000a_245-E Stratton Office Building_x000a_Springfield, IL   62706_x000a_(217) 782-0347_x000a_(217) 557-4622 FAX_x000a__x000a_District Office:_x000a_1014 E. Schaumburg Road_x000a_Streamwood, IL  60107_x000a_(630) 372-3340_x000a_(630) 372-3342 FAX"/>
    <s v=""/>
    <s v=""/>
    <s v=""/>
    <s v=""/>
    <s v=""/>
    <s v=""/>
    <s v=""/>
    <s v=""/>
    <s v=""/>
    <s v=""/>
    <s v=""/>
    <s v=""/>
    <s v=""/>
    <s v=""/>
    <s v=""/>
    <s v=""/>
    <s v=""/>
    <s v="371616Newsletter Recipient, 371627House of Representatives"/>
    <m/>
    <x v="0"/>
  </r>
  <r>
    <n v="37819516"/>
    <b v="0"/>
    <b v="0"/>
    <b v="0"/>
    <b v="1"/>
    <b v="0"/>
    <b v="1"/>
    <b v="1"/>
    <b v="0"/>
    <b v="0"/>
    <n v="0"/>
    <n v="0"/>
    <m/>
    <d v="2017-02-24T00:00:00"/>
    <n v="32127162"/>
    <d v="2017-02-24T00:00:00"/>
    <m/>
    <m/>
    <s v=""/>
    <b v="0"/>
    <m/>
    <m/>
    <d v="2017-02-24T00:00:00"/>
    <m/>
    <n v="791522"/>
    <b v="1"/>
    <m/>
    <m/>
    <m/>
    <x v="0"/>
    <b v="1"/>
    <n v="37819516"/>
    <s v="John"/>
    <s v="Croce"/>
    <s v="Humana"/>
    <s v=""/>
    <s v=""/>
    <s v="jcroce@humana.com"/>
    <s v=""/>
    <s v=""/>
    <s v=""/>
    <s v=""/>
    <s v=""/>
    <s v=""/>
    <s v=""/>
    <s v=""/>
    <s v=""/>
    <s v=""/>
    <s v=""/>
    <s v=""/>
    <s v=""/>
    <s v=""/>
    <s v=""/>
    <s v=""/>
    <s v="371616Newsletter Recipient, 372293Quality Committee"/>
    <m/>
    <x v="0"/>
  </r>
  <r>
    <n v="34088119"/>
    <b v="0"/>
    <b v="0"/>
    <b v="0"/>
    <b v="1"/>
    <b v="0"/>
    <b v="1"/>
    <b v="1"/>
    <b v="0"/>
    <b v="0"/>
    <n v="0"/>
    <n v="0"/>
    <m/>
    <d v="2018-05-29T00:00:00"/>
    <n v="32127162"/>
    <d v="2016-08-29T00:00:00"/>
    <m/>
    <m/>
    <s v=""/>
    <b v="0"/>
    <m/>
    <m/>
    <d v="2016-08-29T00:00:00"/>
    <m/>
    <n v="791522"/>
    <b v="1"/>
    <m/>
    <m/>
    <m/>
    <x v="0"/>
    <b v="1"/>
    <n v="34088119"/>
    <s v="Tracy"/>
    <s v="Crump-Ermon"/>
    <s v="Aetna Better Health"/>
    <s v=""/>
    <s v=""/>
    <s v="Crump-ErmonT@aetna.com"/>
    <s v="312-928-3086"/>
    <s v=""/>
    <s v=""/>
    <s v=""/>
    <s v=""/>
    <s v=""/>
    <s v=""/>
    <s v=""/>
    <s v=""/>
    <s v=""/>
    <s v=""/>
    <s v=""/>
    <s v=""/>
    <s v=""/>
    <s v=""/>
    <s v=""/>
    <s v="371616Newsletter Recipient, 372297Operations Committee, 420923Community Mental Health - Contracts, 420924Community Mental Health - Claims &amp; Billing, 420925Community Mental Health - Care Coordination, 420932FQHC - Contracts, 420933FQHC - Claims &amp; Billing, 420934FQHC - Care Coordination, 420944Mental Health - Contracts, 420945Mental Health - Claims &amp; Billing, 420946Mental Health - Care Coordination, 420947Methadone Treatment - Contracts, 420948Methadone Treatment - Claims &amp; Billing, 420949Methadone Treatment - Care Coordination, 420953Public Health Department - Contracts, 420954Public Health Department - Claims &amp; Billing, 420955Public Health Department - Care Coordination, 420960Substance Use Disorder - Contracts, 420961Substance Use Disorder - Claims &amp; Billing, 420962Substance Use Disorder - Care Coordination, 447857HFS Ops Workgroup"/>
    <s v="10633525Contracts, 10633526Claims/Billing, 10633527Care Coordination"/>
    <x v="0"/>
  </r>
  <r>
    <n v="41483009"/>
    <b v="0"/>
    <b v="0"/>
    <b v="1"/>
    <b v="1"/>
    <b v="0"/>
    <b v="1"/>
    <b v="1"/>
    <b v="0"/>
    <b v="0"/>
    <n v="0"/>
    <n v="0"/>
    <m/>
    <d v="2017-09-15T00:00:00"/>
    <n v="32127162"/>
    <d v="2017-09-13T00:00:00"/>
    <d v="2017-09-13T00:00:00"/>
    <m/>
    <s v=""/>
    <b v="0"/>
    <m/>
    <m/>
    <d v="2017-09-15T00:00:00"/>
    <m/>
    <n v="791522"/>
    <b v="1"/>
    <m/>
    <d v="2017-09-15T00:00:00"/>
    <m/>
    <x v="0"/>
    <b v="1"/>
    <n v="41483009"/>
    <s v="Ngonzi"/>
    <s v="Crushshon"/>
    <s v="Dr. Truth &amp; Associates"/>
    <s v="Owner"/>
    <s v=""/>
    <s v="ncrushshon@gmail.com"/>
    <s v="312-409-9371"/>
    <s v=""/>
    <s v=""/>
    <s v=""/>
    <s v=""/>
    <s v=""/>
    <s v=""/>
    <s v=""/>
    <s v=""/>
    <s v=""/>
    <s v=""/>
    <s v=""/>
    <s v=""/>
    <s v=""/>
    <s v=""/>
    <s v=""/>
    <s v="371616Newsletter Recipient"/>
    <m/>
    <x v="0"/>
  </r>
  <r>
    <n v="37770443"/>
    <b v="0"/>
    <b v="0"/>
    <b v="0"/>
    <b v="1"/>
    <b v="0"/>
    <b v="1"/>
    <b v="1"/>
    <b v="0"/>
    <b v="0"/>
    <n v="0"/>
    <n v="0"/>
    <m/>
    <d v="2017-02-24T00:00:00"/>
    <n v="32127162"/>
    <d v="2017-02-20T00:00:00"/>
    <m/>
    <m/>
    <s v=""/>
    <b v="0"/>
    <m/>
    <m/>
    <d v="2017-02-20T00:00:00"/>
    <m/>
    <n v="791522"/>
    <b v="1"/>
    <m/>
    <m/>
    <m/>
    <x v="0"/>
    <b v="1"/>
    <n v="37770443"/>
    <s v="John"/>
    <s v="Cullerton"/>
    <s v="Illinois General Assembly"/>
    <s v=""/>
    <s v="Senator John J. Cullerton (D)_x000a_6th District_x000a_President of the Senate _x0009__x000a__x000a_Springfield Office:_x000a_Senator 6th District_x000a_327 Capitol Building_x000a_Springfield, IL   62706_x000a_(217) 782-2728_x000a_(217) 782-3242 FAX_x000a_ _x000a_District Office:_x000a_1726 W. Belmont_x000a_Chicago, IL  60657_x000a_(773) 883-0770_x000a_(773) 880-9083 FAX"/>
    <s v=""/>
    <s v=""/>
    <s v=""/>
    <s v=""/>
    <s v=""/>
    <s v=""/>
    <s v="(217) 782-2728"/>
    <s v=""/>
    <s v=""/>
    <s v=""/>
    <s v=""/>
    <s v=""/>
    <s v=""/>
    <s v=""/>
    <s v=""/>
    <s v=""/>
    <s v=""/>
    <s v="371609Senator, 371616Newsletter Recipient"/>
    <m/>
    <x v="0"/>
  </r>
  <r>
    <n v="37770453"/>
    <b v="0"/>
    <b v="0"/>
    <b v="0"/>
    <b v="1"/>
    <b v="0"/>
    <b v="1"/>
    <b v="1"/>
    <b v="0"/>
    <b v="0"/>
    <n v="0"/>
    <n v="0"/>
    <m/>
    <d v="2017-02-24T00:00:00"/>
    <n v="32127162"/>
    <d v="2017-02-20T00:00:00"/>
    <m/>
    <m/>
    <s v=""/>
    <b v="0"/>
    <m/>
    <m/>
    <d v="2017-02-20T00:00:00"/>
    <m/>
    <n v="791522"/>
    <b v="1"/>
    <m/>
    <m/>
    <m/>
    <x v="0"/>
    <b v="1"/>
    <n v="37770453"/>
    <s v="Thomas"/>
    <s v="Cullerton"/>
    <s v="Illinois General Assembly"/>
    <s v=""/>
    <s v="Senator Thomas Cullerton (D)_x000a_23rd District_x0009_ _x0009__x000a__x000a_Springfield Office:_x000a_Senator 23rd District_x000a_122 Capitol Building_x000a_Springfield, IL   62706_x000a_(217) 782-9463_x000a_ _x000a_District Office:_x000a_338 South Ardmore Ave._x000a_Villa Park, IL  60181_x000a_(630) 903-6662_x000a_(630) 903-6643 FAX"/>
    <s v=""/>
    <s v=""/>
    <s v=""/>
    <s v=""/>
    <s v=""/>
    <s v=""/>
    <s v="(217) 782-9463"/>
    <s v=""/>
    <s v=""/>
    <s v=""/>
    <s v=""/>
    <s v=""/>
    <s v=""/>
    <s v=""/>
    <s v=""/>
    <s v=""/>
    <s v=""/>
    <s v="371609Senator, 371616Newsletter Recipient"/>
    <m/>
    <x v="0"/>
  </r>
  <r>
    <n v="37770462"/>
    <b v="0"/>
    <b v="0"/>
    <b v="0"/>
    <b v="1"/>
    <b v="0"/>
    <b v="1"/>
    <b v="1"/>
    <b v="0"/>
    <b v="0"/>
    <n v="0"/>
    <n v="0"/>
    <m/>
    <d v="2017-02-24T00:00:00"/>
    <n v="32127162"/>
    <d v="2017-02-20T00:00:00"/>
    <m/>
    <m/>
    <s v=""/>
    <b v="0"/>
    <m/>
    <m/>
    <d v="2017-02-20T00:00:00"/>
    <m/>
    <n v="791522"/>
    <b v="1"/>
    <m/>
    <m/>
    <m/>
    <x v="0"/>
    <b v="1"/>
    <n v="37770462"/>
    <s v="Bill"/>
    <s v="Cunningham"/>
    <s v="Illinois General Assembly"/>
    <s v="Senator"/>
    <s v="Senator Bill Cunningham (D)_x000a_18th District_x0009__x000a__x000a_Springfield Office:_x000a_Senator 18th District_x000a_311B Capitol Building_x000a_Springfield, IL   62706_x000a_(217) 782-5145_x000a_(217) 782-2115 FAX_x000a_ _x000a_District Office:_x000a_10400 South Western Ave._x000a_Chicago, IL  60643_x000a_(773) 445-8128_x000a_(773) 672-5143 FAX_x000a__x000a_16033 S. 94th Avenue_x000a_Orland Hills, IL 60477_x000a_(708) 233-9703"/>
    <s v="Cunningb33@msn.com"/>
    <s v=""/>
    <s v=""/>
    <s v=""/>
    <s v=""/>
    <s v=""/>
    <s v="(217) 782-5145"/>
    <s v=""/>
    <s v=""/>
    <s v=""/>
    <s v=""/>
    <s v=""/>
    <s v=""/>
    <s v=""/>
    <s v=""/>
    <s v=""/>
    <s v=""/>
    <s v="371609Senator, 371616Newsletter Recipient"/>
    <m/>
    <x v="0"/>
  </r>
  <r>
    <n v="34021517"/>
    <b v="0"/>
    <b v="0"/>
    <b v="0"/>
    <b v="1"/>
    <b v="0"/>
    <b v="1"/>
    <b v="1"/>
    <b v="0"/>
    <b v="0"/>
    <n v="0"/>
    <n v="0"/>
    <m/>
    <d v="2018-01-12T00:00:00"/>
    <n v="32127162"/>
    <d v="2016-08-22T00:00:00"/>
    <m/>
    <m/>
    <s v=""/>
    <b v="0"/>
    <m/>
    <m/>
    <d v="2016-08-22T00:00:00"/>
    <m/>
    <n v="791522"/>
    <b v="1"/>
    <m/>
    <m/>
    <m/>
    <x v="0"/>
    <b v="1"/>
    <n v="34021517"/>
    <s v="Robert"/>
    <s v="Currie"/>
    <s v="Community Care Alliance of Illinois (CCAI)"/>
    <s v=""/>
    <s v=""/>
    <s v="RCurrie@ccaillinois.com"/>
    <s v="312-880-1618"/>
    <s v=""/>
    <s v=""/>
    <s v=""/>
    <s v=""/>
    <s v=""/>
    <s v=""/>
    <s v=""/>
    <s v=""/>
    <s v=""/>
    <s v=""/>
    <s v=""/>
    <s v=""/>
    <s v=""/>
    <s v=""/>
    <s v=""/>
    <m/>
    <m/>
    <x v="0"/>
  </r>
  <r>
    <n v="37819518"/>
    <b v="0"/>
    <b v="0"/>
    <b v="0"/>
    <b v="1"/>
    <b v="0"/>
    <b v="1"/>
    <b v="1"/>
    <b v="0"/>
    <b v="0"/>
    <n v="0"/>
    <n v="0"/>
    <m/>
    <d v="2017-02-24T00:00:00"/>
    <n v="32127162"/>
    <d v="2017-02-24T00:00:00"/>
    <m/>
    <m/>
    <s v=""/>
    <b v="0"/>
    <m/>
    <m/>
    <d v="2017-02-24T00:00:00"/>
    <m/>
    <n v="791522"/>
    <b v="1"/>
    <m/>
    <m/>
    <m/>
    <x v="0"/>
    <b v="1"/>
    <n v="37819518"/>
    <s v="Julie"/>
    <s v="Curry"/>
    <s v="Curry &amp; Associates, L.L.C."/>
    <s v=""/>
    <s v=""/>
    <s v="j_curry1@comcast.net"/>
    <s v=""/>
    <s v=""/>
    <s v=""/>
    <s v=""/>
    <s v=""/>
    <s v=""/>
    <s v=""/>
    <s v=""/>
    <s v="Lobbyist"/>
    <s v=""/>
    <s v=""/>
    <s v=""/>
    <s v=""/>
    <s v=""/>
    <s v=""/>
    <s v=""/>
    <s v="371616Newsletter Recipient, 372296Legislative Committee"/>
    <m/>
    <x v="0"/>
  </r>
  <r>
    <n v="37819521"/>
    <b v="0"/>
    <b v="0"/>
    <b v="0"/>
    <b v="1"/>
    <b v="0"/>
    <b v="1"/>
    <b v="1"/>
    <b v="0"/>
    <b v="0"/>
    <n v="0"/>
    <n v="0"/>
    <m/>
    <d v="2018-06-14T00:00:00"/>
    <n v="32127162"/>
    <d v="2017-02-24T00:00:00"/>
    <m/>
    <m/>
    <s v=""/>
    <b v="0"/>
    <m/>
    <m/>
    <d v="2017-02-24T00:00:00"/>
    <m/>
    <n v="791522"/>
    <b v="1"/>
    <m/>
    <m/>
    <m/>
    <x v="0"/>
    <b v="1"/>
    <n v="37819521"/>
    <s v="Terra"/>
    <s v="Dailey"/>
    <s v="CountyCare Health Plan"/>
    <s v=""/>
    <s v=""/>
    <s v="tdailey@cookcountyhhs.org"/>
    <s v=""/>
    <s v=""/>
    <s v=""/>
    <s v=""/>
    <s v=""/>
    <s v=""/>
    <s v=""/>
    <s v=""/>
    <s v=""/>
    <s v=""/>
    <s v=""/>
    <s v=""/>
    <s v=""/>
    <s v=""/>
    <s v=""/>
    <s v=""/>
    <s v="371616Newsletter Recipient, 372306Marketing Committee"/>
    <m/>
    <x v="0"/>
  </r>
  <r>
    <n v="37822840"/>
    <b v="0"/>
    <b v="0"/>
    <b v="0"/>
    <b v="1"/>
    <b v="0"/>
    <b v="1"/>
    <b v="1"/>
    <b v="0"/>
    <b v="0"/>
    <n v="0"/>
    <n v="0"/>
    <m/>
    <d v="2018-02-12T00:00:00"/>
    <n v="32127162"/>
    <d v="2017-02-24T00:00:00"/>
    <m/>
    <m/>
    <s v=""/>
    <b v="0"/>
    <m/>
    <m/>
    <d v="2017-02-24T00:00:00"/>
    <m/>
    <n v="791522"/>
    <b v="1"/>
    <m/>
    <m/>
    <m/>
    <x v="0"/>
    <b v="1"/>
    <n v="37822840"/>
    <s v="Andrea"/>
    <s v="Dakin"/>
    <s v="AIDS Foundation of Chicago"/>
    <s v=""/>
    <s v=""/>
    <s v="adakin@aidschicago.org"/>
    <s v=""/>
    <s v=""/>
    <s v=""/>
    <s v=""/>
    <s v=""/>
    <s v=""/>
    <s v=""/>
    <s v=""/>
    <s v=""/>
    <s v=""/>
    <s v=""/>
    <s v=""/>
    <s v=""/>
    <s v=""/>
    <s v=""/>
    <s v=""/>
    <s v="371616Newsletter Recipient"/>
    <m/>
    <x v="0"/>
  </r>
  <r>
    <n v="39538180"/>
    <b v="0"/>
    <b v="0"/>
    <b v="0"/>
    <b v="1"/>
    <b v="0"/>
    <b v="1"/>
    <b v="1"/>
    <b v="0"/>
    <b v="0"/>
    <n v="0"/>
    <n v="0"/>
    <m/>
    <d v="2018-01-29T00:00:00"/>
    <n v="32127162"/>
    <d v="2017-06-28T00:00:00"/>
    <m/>
    <m/>
    <s v=""/>
    <b v="0"/>
    <m/>
    <m/>
    <d v="2017-06-28T00:00:00"/>
    <m/>
    <n v="791522"/>
    <b v="1"/>
    <m/>
    <m/>
    <m/>
    <x v="0"/>
    <b v="1"/>
    <n v="39538180"/>
    <s v="Kelly"/>
    <s v="Dalton"/>
    <s v="Molina Healthcare of Illinois, Inc."/>
    <s v=""/>
    <s v=""/>
    <s v="Kelly.Dalton@molinahealthcare.com"/>
    <s v="888-562-5442 x161217"/>
    <s v=""/>
    <s v=""/>
    <s v=""/>
    <s v=""/>
    <s v=""/>
    <s v=""/>
    <s v=""/>
    <s v=""/>
    <s v=""/>
    <s v=""/>
    <s v=""/>
    <s v=""/>
    <s v=""/>
    <s v=""/>
    <s v=""/>
    <s v="371616Newsletter Recipient"/>
    <m/>
    <x v="0"/>
  </r>
  <r>
    <n v="37778720"/>
    <b v="0"/>
    <b v="0"/>
    <b v="0"/>
    <b v="1"/>
    <b v="0"/>
    <b v="1"/>
    <b v="1"/>
    <b v="0"/>
    <b v="0"/>
    <n v="0"/>
    <n v="0"/>
    <m/>
    <d v="2017-02-24T00:00:00"/>
    <n v="32127162"/>
    <d v="2017-02-20T00:00:00"/>
    <m/>
    <m/>
    <s v=""/>
    <b v="0"/>
    <m/>
    <m/>
    <d v="2017-02-20T00:00:00"/>
    <m/>
    <n v="791522"/>
    <b v="1"/>
    <m/>
    <m/>
    <m/>
    <x v="0"/>
    <b v="1"/>
    <n v="37778720"/>
    <s v="John"/>
    <s v="D'Amico"/>
    <s v="Illinois General Assembly"/>
    <s v=""/>
    <s v="Representative John C. D'Amico (D)_x000a_15th District_x0009__x000a__x000a_Springfield Office:_x000a_279-S Stratton Office Building_x000a_Springfield, IL   62706_x000a_(217) 782-8198_x000a_(217) 782-2906 FAX_x000a__x000a_District Office:_x000a_4404 W. Lawrence Avenue_x000a_Chicago, IL  60630_x000a_(773) 736-0218_x000a_(773) 736-2333 FAX"/>
    <s v="johnd@ilga.gov"/>
    <s v=""/>
    <s v=""/>
    <s v=""/>
    <s v=""/>
    <s v=""/>
    <s v=""/>
    <s v=""/>
    <s v=""/>
    <s v=""/>
    <s v=""/>
    <s v=""/>
    <s v=""/>
    <s v=""/>
    <s v=""/>
    <s v=""/>
    <s v=""/>
    <s v="371616Newsletter Recipient, 371627House of Representatives"/>
    <m/>
    <x v="0"/>
  </r>
  <r>
    <n v="37822493"/>
    <b v="0"/>
    <b v="0"/>
    <b v="0"/>
    <b v="1"/>
    <b v="0"/>
    <b v="1"/>
    <b v="1"/>
    <b v="0"/>
    <b v="0"/>
    <n v="0"/>
    <n v="0"/>
    <m/>
    <d v="2017-02-24T00:00:00"/>
    <n v="32127162"/>
    <d v="2017-02-24T00:00:00"/>
    <m/>
    <m/>
    <s v=""/>
    <b v="0"/>
    <m/>
    <m/>
    <d v="2017-02-24T00:00:00"/>
    <m/>
    <n v="791522"/>
    <b v="1"/>
    <m/>
    <m/>
    <m/>
    <x v="0"/>
    <b v="1"/>
    <n v="37822493"/>
    <s v="Assistant to Senator William R. Haine"/>
    <s v="Dana"/>
    <s v="Illinois General Assembly"/>
    <s v=""/>
    <s v=""/>
    <s v="dana@hainedistrictoffice.com"/>
    <s v=""/>
    <s v=""/>
    <s v=""/>
    <s v=""/>
    <s v=""/>
    <s v=""/>
    <s v=""/>
    <s v=""/>
    <s v=""/>
    <s v=""/>
    <s v=""/>
    <s v=""/>
    <s v=""/>
    <s v=""/>
    <s v=""/>
    <s v=""/>
    <s v="371616Newsletter Recipient, 372319IGA Senate Staff"/>
    <m/>
    <x v="0"/>
  </r>
  <r>
    <n v="40308732"/>
    <b v="0"/>
    <b v="0"/>
    <b v="0"/>
    <b v="1"/>
    <b v="0"/>
    <b v="1"/>
    <b v="1"/>
    <b v="0"/>
    <b v="0"/>
    <n v="0"/>
    <n v="0"/>
    <m/>
    <d v="2018-02-12T00:00:00"/>
    <n v="32127162"/>
    <d v="2017-07-10T00:00:00"/>
    <m/>
    <m/>
    <s v=""/>
    <b v="0"/>
    <m/>
    <m/>
    <d v="2017-07-10T00:00:00"/>
    <m/>
    <n v="791522"/>
    <b v="1"/>
    <m/>
    <m/>
    <m/>
    <x v="0"/>
    <b v="1"/>
    <n v="40308732"/>
    <s v="Daniel"/>
    <s v="Dancker"/>
    <s v="Aetna Better Health of Illinois"/>
    <s v=""/>
    <s v=""/>
    <s v="dgdancker@aetna.com"/>
    <s v=""/>
    <s v=""/>
    <s v=""/>
    <s v=""/>
    <s v=""/>
    <s v=""/>
    <s v=""/>
    <s v=""/>
    <s v=""/>
    <s v=""/>
    <s v=""/>
    <s v=""/>
    <s v=""/>
    <s v=""/>
    <s v=""/>
    <s v=""/>
    <s v="371616Newsletter Recipient"/>
    <m/>
    <x v="0"/>
  </r>
  <r>
    <n v="37822496"/>
    <b v="0"/>
    <b v="0"/>
    <b v="0"/>
    <b v="1"/>
    <b v="0"/>
    <b v="1"/>
    <b v="1"/>
    <b v="0"/>
    <b v="0"/>
    <n v="0"/>
    <n v="0"/>
    <m/>
    <d v="2017-02-24T00:00:00"/>
    <n v="32127162"/>
    <d v="2017-02-24T00:00:00"/>
    <m/>
    <m/>
    <s v=""/>
    <b v="0"/>
    <m/>
    <m/>
    <d v="2017-02-24T00:00:00"/>
    <m/>
    <n v="791522"/>
    <b v="1"/>
    <m/>
    <m/>
    <m/>
    <x v="0"/>
    <b v="1"/>
    <n v="37822496"/>
    <s v="Assistant to Senator Michael Hastings"/>
    <s v="Danielle Lemonnier"/>
    <s v="Illinois General Assembly"/>
    <s v=""/>
    <s v=""/>
    <s v="Danielle.Lemonnier@me.com"/>
    <s v=""/>
    <s v=""/>
    <s v=""/>
    <s v=""/>
    <s v=""/>
    <s v=""/>
    <s v=""/>
    <s v=""/>
    <s v=""/>
    <s v=""/>
    <s v=""/>
    <s v=""/>
    <s v=""/>
    <s v=""/>
    <s v=""/>
    <s v=""/>
    <s v="371616Newsletter Recipient, 372319IGA Senate Staff"/>
    <m/>
    <x v="0"/>
  </r>
  <r>
    <n v="43466707"/>
    <b v="0"/>
    <b v="0"/>
    <b v="0"/>
    <b v="1"/>
    <b v="0"/>
    <b v="1"/>
    <b v="1"/>
    <b v="0"/>
    <b v="0"/>
    <n v="0"/>
    <n v="0"/>
    <m/>
    <d v="2018-01-26T00:00:00"/>
    <n v="32127162"/>
    <d v="2018-01-26T00:00:00"/>
    <m/>
    <m/>
    <s v=""/>
    <b v="0"/>
    <m/>
    <m/>
    <d v="2018-01-26T00:00:00"/>
    <m/>
    <n v="791522"/>
    <b v="1"/>
    <m/>
    <d v="2018-01-26T00:00:00"/>
    <m/>
    <x v="0"/>
    <b v="1"/>
    <n v="43466707"/>
    <s v="Michele"/>
    <s v="Danilkowicz"/>
    <s v="Practice Management"/>
    <s v=""/>
    <s v=""/>
    <s v="michele@maximizedrevenue.com"/>
    <s v=""/>
    <s v=""/>
    <s v=""/>
    <s v=""/>
    <s v=""/>
    <s v=""/>
    <s v=""/>
    <s v=""/>
    <s v=""/>
    <s v=""/>
    <s v=""/>
    <s v=""/>
    <s v=""/>
    <s v=""/>
    <s v=""/>
    <s v=""/>
    <s v="371616Newsletter Recipient"/>
    <m/>
    <x v="0"/>
  </r>
  <r>
    <n v="36686384"/>
    <b v="0"/>
    <b v="0"/>
    <b v="0"/>
    <b v="1"/>
    <b v="0"/>
    <b v="1"/>
    <b v="1"/>
    <b v="0"/>
    <b v="0"/>
    <n v="0"/>
    <n v="0"/>
    <m/>
    <d v="2018-03-26T00:00:00"/>
    <n v="32127162"/>
    <d v="2016-12-27T00:00:00"/>
    <m/>
    <m/>
    <s v=""/>
    <b v="0"/>
    <m/>
    <m/>
    <d v="2016-12-27T00:00:00"/>
    <m/>
    <n v="791522"/>
    <b v="1"/>
    <m/>
    <m/>
    <m/>
    <x v="0"/>
    <b v="1"/>
    <n v="36686384"/>
    <s v="Andrea"/>
    <s v="Davenport"/>
    <s v="Meridian"/>
    <s v=""/>
    <s v=""/>
    <s v="Andrea.davenport@mhplan.com"/>
    <s v="312.660.6373"/>
    <s v=""/>
    <s v=""/>
    <s v=""/>
    <s v=""/>
    <s v=""/>
    <s v=""/>
    <s v=""/>
    <s v="Redetermination Point Person"/>
    <s v=""/>
    <s v=""/>
    <s v=""/>
    <s v=""/>
    <s v=""/>
    <s v=""/>
    <s v=""/>
    <s v="364404Redetermination Point Person, 371616Newsletter Recipient, 372306Marketing Committee"/>
    <m/>
    <x v="0"/>
  </r>
  <r>
    <n v="34088057"/>
    <b v="0"/>
    <b v="0"/>
    <b v="0"/>
    <b v="1"/>
    <b v="0"/>
    <b v="1"/>
    <b v="1"/>
    <b v="0"/>
    <b v="0"/>
    <n v="0"/>
    <n v="0"/>
    <m/>
    <d v="2018-01-22T00:00:00"/>
    <n v="32127162"/>
    <d v="2016-08-29T00:00:00"/>
    <m/>
    <m/>
    <s v=""/>
    <b v="0"/>
    <m/>
    <m/>
    <d v="2016-08-29T00:00:00"/>
    <m/>
    <n v="791522"/>
    <b v="1"/>
    <m/>
    <m/>
    <m/>
    <x v="0"/>
    <b v="1"/>
    <n v="34088057"/>
    <s v="Ninos"/>
    <s v="David"/>
    <s v="NextLevel Health"/>
    <s v=""/>
    <s v=""/>
    <s v="Ninos.David@nlhpartners.com"/>
    <s v="312-300-5780 ext 497"/>
    <s v=""/>
    <s v=""/>
    <s v=""/>
    <s v=""/>
    <s v=""/>
    <s v=""/>
    <s v=""/>
    <s v=""/>
    <s v=""/>
    <s v=""/>
    <s v=""/>
    <s v=""/>
    <s v=""/>
    <s v=""/>
    <s v=""/>
    <s v="371616Newsletter Recipient"/>
    <m/>
    <x v="0"/>
  </r>
  <r>
    <n v="37778727"/>
    <b v="0"/>
    <b v="0"/>
    <b v="0"/>
    <b v="1"/>
    <b v="0"/>
    <b v="1"/>
    <b v="1"/>
    <b v="0"/>
    <b v="0"/>
    <n v="0"/>
    <n v="0"/>
    <m/>
    <d v="2017-02-24T00:00:00"/>
    <n v="32127162"/>
    <d v="2017-02-20T00:00:00"/>
    <m/>
    <m/>
    <s v=""/>
    <b v="0"/>
    <m/>
    <m/>
    <d v="2017-02-20T00:00:00"/>
    <m/>
    <n v="791522"/>
    <b v="1"/>
    <m/>
    <m/>
    <m/>
    <x v="0"/>
    <b v="1"/>
    <n v="37778727"/>
    <s v="C.D."/>
    <s v="Davidsmeyer"/>
    <s v="Illinois General Assembly"/>
    <s v=""/>
    <s v="Representative C.D. Davidsmeyer (R)_x000a_100th District_x0009__x000a__x000a_Springfield Office:_x000a_201-N Stratton Office Building_x000a_Springfield, IL   62706_x000a_(217) 782-1840_x000a__x000a_District Office:_x000a_325 W. State Street, Suite 102_x000a_P.O. Box 160_x000a_Jacksonville, IL  62650_x000a_(217) 243-6221_x000a_(217) 245-2071 FAX_x000a__x000a_100 South State Street_x000a_Jerseyville, IL 62052_x000a_(618) 639-2071"/>
    <s v="davidsmeyer@ilhousegop.org"/>
    <s v=""/>
    <s v=""/>
    <s v=""/>
    <s v=""/>
    <s v=""/>
    <s v=""/>
    <s v=""/>
    <s v=""/>
    <s v=""/>
    <s v=""/>
    <s v=""/>
    <s v=""/>
    <s v=""/>
    <s v=""/>
    <s v=""/>
    <s v=""/>
    <s v="371616Newsletter Recipient, 371627House of Representatives"/>
    <m/>
    <x v="0"/>
  </r>
  <r>
    <n v="46435954"/>
    <b v="0"/>
    <b v="0"/>
    <b v="0"/>
    <b v="1"/>
    <b v="0"/>
    <b v="1"/>
    <b v="1"/>
    <b v="0"/>
    <b v="0"/>
    <n v="0"/>
    <n v="0"/>
    <m/>
    <d v="2018-06-21T00:00:00"/>
    <n v="32127162"/>
    <d v="2018-06-21T00:00:00"/>
    <m/>
    <m/>
    <s v=""/>
    <b v="0"/>
    <m/>
    <m/>
    <d v="2018-06-21T00:00:00"/>
    <m/>
    <n v="791522"/>
    <b v="1"/>
    <m/>
    <d v="2018-06-21T00:00:00"/>
    <m/>
    <x v="0"/>
    <b v="1"/>
    <n v="46435954"/>
    <s v="Jinny"/>
    <s v="Davis"/>
    <s v="Member"/>
    <s v=""/>
    <s v=""/>
    <s v="jinnylesliedavis@gmail.com"/>
    <s v=""/>
    <s v="Leslie"/>
    <s v=""/>
    <s v=""/>
    <s v=""/>
    <s v=""/>
    <s v=""/>
    <s v="Member"/>
    <s v=""/>
    <s v=""/>
    <s v=""/>
    <s v=""/>
    <s v=""/>
    <s v=""/>
    <s v=""/>
    <s v=""/>
    <s v="371616Newsletter Recipient"/>
    <m/>
    <x v="0"/>
  </r>
  <r>
    <n v="37819495"/>
    <b v="0"/>
    <b v="0"/>
    <b v="0"/>
    <b v="1"/>
    <b v="0"/>
    <b v="1"/>
    <b v="1"/>
    <b v="0"/>
    <b v="0"/>
    <n v="0"/>
    <n v="0"/>
    <m/>
    <d v="2018-05-29T00:00:00"/>
    <n v="32127162"/>
    <d v="2017-02-24T00:00:00"/>
    <m/>
    <m/>
    <s v=""/>
    <b v="0"/>
    <m/>
    <m/>
    <d v="2017-02-24T00:00:00"/>
    <m/>
    <n v="791522"/>
    <b v="1"/>
    <m/>
    <m/>
    <m/>
    <x v="0"/>
    <b v="1"/>
    <n v="37819495"/>
    <s v="Tiffany"/>
    <s v="Davis"/>
    <s v="BlueCross BlueShield of Illinois"/>
    <s v=""/>
    <s v=""/>
    <s v="tiffany_n_davis@bcbsil.com"/>
    <s v=""/>
    <s v=""/>
    <s v=""/>
    <s v=""/>
    <s v=""/>
    <s v=""/>
    <s v=""/>
    <s v=""/>
    <s v="Regulatory"/>
    <s v=""/>
    <s v=""/>
    <s v=""/>
    <s v=""/>
    <s v=""/>
    <s v=""/>
    <s v=""/>
    <s v="350522Compliance Officer, 371616Newsletter Recipient, 372297Operations Committee, 441580Compliance Committee, 447857HFS Ops Workgroup"/>
    <m/>
    <x v="0"/>
  </r>
  <r>
    <n v="37778730"/>
    <b v="0"/>
    <b v="0"/>
    <b v="0"/>
    <b v="1"/>
    <b v="0"/>
    <b v="1"/>
    <b v="1"/>
    <b v="0"/>
    <b v="0"/>
    <n v="0"/>
    <n v="0"/>
    <m/>
    <d v="2017-02-24T00:00:00"/>
    <n v="32127162"/>
    <d v="2017-02-20T00:00:00"/>
    <m/>
    <m/>
    <s v=""/>
    <b v="0"/>
    <m/>
    <m/>
    <d v="2017-02-20T00:00:00"/>
    <m/>
    <n v="791522"/>
    <b v="1"/>
    <m/>
    <m/>
    <m/>
    <x v="0"/>
    <b v="1"/>
    <n v="37778730"/>
    <s v="William"/>
    <s v="Davis"/>
    <s v="Illinois General Assembly"/>
    <s v=""/>
    <s v="Representative William Davis (D)_x000a_30th District_x0009_ _x0009__x000a__x000a_Springfield Office:_x000a_254-W Stratton Office Building_x000a_Springfield, IL   62706_x000a_(217) 782-8197_x000a_(217) 782-3220 FAX_x000a__x000a_District Office:_x000a_1912 W. 174th Street_x000a_East Hazel Crest, IL  60429_x000a_(708) 799-7300_x000a_(708) 799-7377 FAX"/>
    <s v="tawnysmith@sbcglobal.net"/>
    <s v=""/>
    <s v=""/>
    <s v=""/>
    <s v=""/>
    <s v=""/>
    <s v=""/>
    <s v=""/>
    <s v=""/>
    <s v=""/>
    <s v=""/>
    <s v=""/>
    <s v=""/>
    <s v=""/>
    <s v=""/>
    <s v=""/>
    <s v=""/>
    <s v="371616Newsletter Recipient, 371627House of Representatives"/>
    <m/>
    <x v="0"/>
  </r>
  <r>
    <n v="43669749"/>
    <b v="0"/>
    <b v="0"/>
    <b v="0"/>
    <b v="1"/>
    <b v="0"/>
    <b v="1"/>
    <b v="1"/>
    <b v="0"/>
    <b v="0"/>
    <n v="0"/>
    <n v="0"/>
    <m/>
    <d v="2018-02-08T00:00:00"/>
    <n v="32127162"/>
    <d v="2018-02-08T00:00:00"/>
    <m/>
    <m/>
    <s v=""/>
    <b v="0"/>
    <m/>
    <m/>
    <d v="2018-02-07T00:00:00"/>
    <m/>
    <n v="791522"/>
    <b v="1"/>
    <m/>
    <d v="2018-02-08T00:00:00"/>
    <m/>
    <x v="0"/>
    <b v="1"/>
    <n v="43669749"/>
    <s v="LaVonda"/>
    <s v="Deahl"/>
    <s v="CountyCare Health Plan"/>
    <s v=""/>
    <s v=""/>
    <s v="ldeahl@evolenthealth.com"/>
    <s v=""/>
    <s v=""/>
    <s v=""/>
    <s v=""/>
    <s v=""/>
    <s v=""/>
    <s v=""/>
    <s v=""/>
    <s v=""/>
    <s v=""/>
    <s v=""/>
    <s v=""/>
    <s v=""/>
    <s v=""/>
    <s v=""/>
    <s v=""/>
    <s v="335736Provider Relations - Committee Members, 371616Newsletter Recipient"/>
    <m/>
    <x v="0"/>
  </r>
  <r>
    <n v="36549227"/>
    <b v="0"/>
    <b v="0"/>
    <b v="0"/>
    <b v="1"/>
    <b v="0"/>
    <b v="1"/>
    <b v="1"/>
    <b v="0"/>
    <b v="0"/>
    <n v="0"/>
    <n v="0"/>
    <m/>
    <d v="2018-02-08T00:00:00"/>
    <n v="32127162"/>
    <d v="2016-12-14T00:00:00"/>
    <m/>
    <m/>
    <s v=""/>
    <b v="0"/>
    <m/>
    <m/>
    <d v="2016-12-14T00:00:00"/>
    <m/>
    <n v="791522"/>
    <b v="1"/>
    <m/>
    <m/>
    <m/>
    <x v="0"/>
    <b v="1"/>
    <n v="36549227"/>
    <s v="Danielle"/>
    <s v="Dean"/>
    <s v="CountyCare Health Plan"/>
    <s v=""/>
    <s v=""/>
    <s v="ddean@cookcountyhhs.org"/>
    <s v=""/>
    <s v=""/>
    <s v=""/>
    <s v=""/>
    <s v=""/>
    <s v=""/>
    <s v=""/>
    <s v=""/>
    <s v=""/>
    <s v=""/>
    <s v=""/>
    <s v=""/>
    <s v=""/>
    <s v=""/>
    <s v=""/>
    <s v=""/>
    <s v="371616Newsletter Recipient"/>
    <m/>
    <x v="0"/>
  </r>
  <r>
    <n v="39535692"/>
    <b v="0"/>
    <b v="0"/>
    <b v="0"/>
    <b v="1"/>
    <b v="0"/>
    <b v="1"/>
    <b v="1"/>
    <b v="0"/>
    <b v="0"/>
    <n v="0"/>
    <n v="0"/>
    <m/>
    <d v="2018-03-22T00:00:00"/>
    <n v="32127162"/>
    <d v="2017-06-28T00:00:00"/>
    <m/>
    <m/>
    <s v=""/>
    <b v="0"/>
    <m/>
    <m/>
    <d v="2017-06-28T00:00:00"/>
    <m/>
    <n v="791522"/>
    <b v="1"/>
    <m/>
    <m/>
    <m/>
    <x v="0"/>
    <b v="1"/>
    <n v="39535692"/>
    <s v="Chuck"/>
    <s v="Degrange"/>
    <s v="Humana"/>
    <s v=""/>
    <s v=""/>
    <s v="cdegrange@humana.com"/>
    <s v="(312) 441-5017"/>
    <s v=""/>
    <s v=""/>
    <s v=""/>
    <s v=""/>
    <s v=""/>
    <s v=""/>
    <s v=""/>
    <s v=""/>
    <s v=""/>
    <s v=""/>
    <s v=""/>
    <s v=""/>
    <s v=""/>
    <s v=""/>
    <s v=""/>
    <s v="371616Newsletter Recipient, 420929Durable Medical Equipment - Contracts, 420930Durable Medical Equipment - Claims &amp; Billing, 420931Durable Medical Equipment - Care Coordination"/>
    <s v="10633525Contracts, 10633526Claims/Billing, 10633527Care Coordination"/>
    <x v="0"/>
  </r>
  <r>
    <n v="44047278"/>
    <b v="0"/>
    <b v="0"/>
    <b v="0"/>
    <b v="1"/>
    <b v="0"/>
    <b v="1"/>
    <b v="1"/>
    <b v="0"/>
    <b v="0"/>
    <n v="0"/>
    <n v="0"/>
    <m/>
    <d v="2018-03-02T00:00:00"/>
    <n v="32127162"/>
    <d v="2018-03-02T00:00:00"/>
    <m/>
    <m/>
    <s v=""/>
    <b v="0"/>
    <m/>
    <m/>
    <d v="2018-03-02T00:00:00"/>
    <m/>
    <n v="791522"/>
    <b v="1"/>
    <m/>
    <d v="2018-03-02T00:00:00"/>
    <m/>
    <x v="0"/>
    <b v="1"/>
    <n v="44047278"/>
    <s v="Margaret"/>
    <s v="deHesse"/>
    <s v="HSAG"/>
    <s v=""/>
    <s v=""/>
    <s v="mdehesse@hsag.com"/>
    <s v=""/>
    <s v=""/>
    <s v=""/>
    <s v=""/>
    <s v=""/>
    <s v=""/>
    <s v=""/>
    <s v=""/>
    <s v=""/>
    <s v=""/>
    <s v=""/>
    <s v=""/>
    <s v=""/>
    <s v=""/>
    <s v=""/>
    <s v=""/>
    <s v="371616Newsletter Recipient"/>
    <m/>
    <x v="0"/>
  </r>
  <r>
    <n v="44027120"/>
    <b v="0"/>
    <b v="0"/>
    <b v="0"/>
    <b v="1"/>
    <b v="0"/>
    <b v="1"/>
    <b v="1"/>
    <b v="0"/>
    <b v="0"/>
    <n v="0"/>
    <n v="0"/>
    <m/>
    <d v="2018-05-09T00:00:00"/>
    <n v="32127162"/>
    <d v="2018-03-02T00:00:00"/>
    <m/>
    <m/>
    <s v=""/>
    <b v="0"/>
    <m/>
    <m/>
    <d v="2018-03-02T00:00:00"/>
    <m/>
    <n v="791522"/>
    <b v="1"/>
    <m/>
    <d v="2018-03-02T00:00:00"/>
    <m/>
    <x v="0"/>
    <b v="1"/>
    <n v="44027120"/>
    <s v="Julian"/>
    <s v="Deisch"/>
    <s v="IlliniCare Health"/>
    <s v=""/>
    <s v=""/>
    <s v="julian.c.deisch@illinicare.com"/>
    <s v="312.260.5311"/>
    <s v=""/>
    <s v=""/>
    <s v=""/>
    <s v=""/>
    <s v=""/>
    <s v=""/>
    <s v=""/>
    <s v=""/>
    <s v=""/>
    <s v=""/>
    <s v=""/>
    <s v=""/>
    <s v=""/>
    <s v=""/>
    <s v=""/>
    <s v="420932FQHC - Contracts, 420933FQHC - Claims &amp; Billing, 420934FQHC - Care Coordination"/>
    <s v="10633525Contracts, 10633526Claims/Billing, 10633527Care Coordination"/>
    <x v="0"/>
  </r>
  <r>
    <n v="46435939"/>
    <b v="0"/>
    <b v="0"/>
    <b v="0"/>
    <b v="1"/>
    <b v="0"/>
    <b v="1"/>
    <b v="1"/>
    <b v="0"/>
    <b v="0"/>
    <n v="0"/>
    <n v="0"/>
    <m/>
    <d v="2018-06-21T00:00:00"/>
    <n v="32127162"/>
    <d v="2018-06-21T00:00:00"/>
    <m/>
    <m/>
    <s v=""/>
    <b v="0"/>
    <m/>
    <m/>
    <d v="2018-06-21T00:00:00"/>
    <m/>
    <n v="791522"/>
    <b v="1"/>
    <m/>
    <d v="2018-06-21T00:00:00"/>
    <m/>
    <x v="0"/>
    <b v="1"/>
    <n v="46435939"/>
    <s v="Jessica"/>
    <s v="Deisinger"/>
    <s v="AstraZeneca"/>
    <s v=""/>
    <s v=""/>
    <s v="jessica.deisinger@astrazeneca.com"/>
    <s v=""/>
    <s v=""/>
    <s v=""/>
    <s v=""/>
    <s v=""/>
    <s v=""/>
    <s v=""/>
    <s v="AstraZeneca"/>
    <s v=""/>
    <s v=""/>
    <s v=""/>
    <s v=""/>
    <s v=""/>
    <s v=""/>
    <s v=""/>
    <s v=""/>
    <s v="371616Newsletter Recipient"/>
    <m/>
    <x v="0"/>
  </r>
  <r>
    <n v="36686401"/>
    <b v="0"/>
    <b v="0"/>
    <b v="0"/>
    <b v="1"/>
    <b v="0"/>
    <b v="1"/>
    <b v="1"/>
    <b v="0"/>
    <b v="0"/>
    <n v="0"/>
    <n v="0"/>
    <m/>
    <d v="2018-03-26T00:00:00"/>
    <n v="32127162"/>
    <d v="2016-12-27T00:00:00"/>
    <m/>
    <m/>
    <s v=""/>
    <b v="0"/>
    <m/>
    <m/>
    <d v="2016-12-27T00:00:00"/>
    <m/>
    <n v="791522"/>
    <b v="1"/>
    <m/>
    <m/>
    <m/>
    <x v="0"/>
    <b v="1"/>
    <n v="36686401"/>
    <s v="Cyndi"/>
    <s v="Delderfield"/>
    <s v="Molina"/>
    <s v=""/>
    <s v=""/>
    <s v="Cyndi.Delderfield@MolinaHealthCare.com"/>
    <s v="888-562-5442 x161151"/>
    <s v=""/>
    <s v=""/>
    <s v=""/>
    <s v=""/>
    <s v=""/>
    <s v=""/>
    <s v=""/>
    <s v="Redetermination Point Person"/>
    <s v=""/>
    <s v=""/>
    <s v=""/>
    <s v=""/>
    <s v=""/>
    <s v=""/>
    <s v=""/>
    <s v="364404Redetermination Point Person, 371616Newsletter Recipient"/>
    <m/>
    <x v="0"/>
  </r>
  <r>
    <n v="44358996"/>
    <b v="0"/>
    <b v="0"/>
    <b v="0"/>
    <b v="1"/>
    <b v="0"/>
    <b v="1"/>
    <b v="1"/>
    <b v="0"/>
    <b v="0"/>
    <n v="0"/>
    <n v="0"/>
    <m/>
    <d v="2018-03-26T00:00:00"/>
    <n v="32127162"/>
    <d v="2018-03-22T00:00:00"/>
    <m/>
    <m/>
    <s v=""/>
    <b v="0"/>
    <m/>
    <m/>
    <d v="2018-03-22T00:00:00"/>
    <m/>
    <n v="791522"/>
    <b v="1"/>
    <m/>
    <d v="2018-03-22T00:00:00"/>
    <m/>
    <x v="0"/>
    <b v="1"/>
    <n v="44358996"/>
    <s v="Casey"/>
    <s v="DeLoach"/>
    <s v="VaxCare"/>
    <s v=""/>
    <s v=""/>
    <s v="cdeloach@vaxcare.com"/>
    <s v=""/>
    <s v=""/>
    <s v=""/>
    <s v=""/>
    <s v=""/>
    <s v=""/>
    <s v=""/>
    <s v="VaxCare"/>
    <s v="CEO"/>
    <s v=""/>
    <s v=""/>
    <s v=""/>
    <s v=""/>
    <s v=""/>
    <s v=""/>
    <s v=""/>
    <s v="371616Newsletter Recipient"/>
    <m/>
    <x v="0"/>
  </r>
  <r>
    <n v="37778739"/>
    <b v="0"/>
    <b v="0"/>
    <b v="0"/>
    <b v="1"/>
    <b v="0"/>
    <b v="1"/>
    <b v="1"/>
    <b v="0"/>
    <b v="0"/>
    <n v="0"/>
    <n v="0"/>
    <m/>
    <d v="2017-02-24T00:00:00"/>
    <n v="32127162"/>
    <d v="2017-02-20T00:00:00"/>
    <m/>
    <m/>
    <s v=""/>
    <b v="0"/>
    <m/>
    <m/>
    <d v="2017-02-20T00:00:00"/>
    <m/>
    <n v="791522"/>
    <b v="1"/>
    <m/>
    <m/>
    <m/>
    <x v="0"/>
    <b v="1"/>
    <n v="37778739"/>
    <s v="Anthony"/>
    <s v="DeLuca"/>
    <s v="Illinois General Assembly"/>
    <s v=""/>
    <s v="Representative Anthony DeLuca (D)_x000a_80th District_x0009_ _x0009__x000a__x000a_Springfield Office:_x000a_277-S Stratton Office Building_x000a_Springfield, IL   62706_x000a_(217) 782-1719_x000a_(217) 558-4944 FAX_x000a__x000a_District Office:_x000a_195 W. Joe Orr Rd._x000a_Suite 201_x000a_Chicago Heights, IL  60411_x000a_(708) 754-7900_x000a_(708) 754-7904 FAX"/>
    <s v="repdeluca@sbcglobal.net"/>
    <s v=""/>
    <s v=""/>
    <s v=""/>
    <s v=""/>
    <s v=""/>
    <s v=""/>
    <s v=""/>
    <s v=""/>
    <s v=""/>
    <s v=""/>
    <s v=""/>
    <s v=""/>
    <s v=""/>
    <s v=""/>
    <s v=""/>
    <s v=""/>
    <s v="371616Newsletter Recipient, 371627House of Representatives"/>
    <m/>
    <x v="0"/>
  </r>
  <r>
    <n v="37778748"/>
    <b v="0"/>
    <b v="0"/>
    <b v="0"/>
    <b v="1"/>
    <b v="0"/>
    <b v="1"/>
    <b v="1"/>
    <b v="0"/>
    <b v="0"/>
    <n v="0"/>
    <n v="0"/>
    <m/>
    <d v="2017-02-24T00:00:00"/>
    <n v="32127162"/>
    <d v="2017-02-20T00:00:00"/>
    <m/>
    <m/>
    <s v=""/>
    <b v="0"/>
    <m/>
    <m/>
    <d v="2017-02-20T00:00:00"/>
    <m/>
    <n v="791522"/>
    <b v="1"/>
    <m/>
    <m/>
    <m/>
    <x v="0"/>
    <b v="1"/>
    <n v="37778748"/>
    <s v="Tom"/>
    <s v="Demmer"/>
    <s v="Illinois General Assembly"/>
    <s v=""/>
    <s v="Representative Tom Demmer (R)_x000a_90th District_x000a_Republican Conference Chairperson _x0009__x000a__x000a_Springfield Office:_x000a_314 Capitol Building_x000a_Springfield, IL   62706_x000a_(217) 782-0535_x000a__x000a_District Office:_x000a_1221 Currency Court_x000a_Suite B_x000a_Rochelle, IL  61068_x000a_(815) 561-3690"/>
    <s v="demmer@ilhousegop.org"/>
    <s v=""/>
    <s v=""/>
    <s v=""/>
    <s v=""/>
    <s v=""/>
    <s v=""/>
    <s v=""/>
    <s v=""/>
    <s v=""/>
    <s v=""/>
    <s v=""/>
    <s v=""/>
    <s v=""/>
    <s v=""/>
    <s v=""/>
    <s v=""/>
    <s v="371616Newsletter Recipient, 371627House of Representatives"/>
    <m/>
    <x v="0"/>
  </r>
  <r>
    <n v="38940525"/>
    <b v="0"/>
    <b v="0"/>
    <b v="1"/>
    <b v="1"/>
    <b v="0"/>
    <b v="1"/>
    <b v="1"/>
    <b v="0"/>
    <b v="0"/>
    <n v="0"/>
    <n v="0"/>
    <m/>
    <d v="2017-08-18T00:00:00"/>
    <n v="32090502"/>
    <d v="2017-05-17T00:00:00"/>
    <m/>
    <m/>
    <s v=""/>
    <b v="0"/>
    <m/>
    <m/>
    <d v="2017-05-17T00:00:00"/>
    <m/>
    <n v="791522"/>
    <b v="1"/>
    <m/>
    <m/>
    <m/>
    <x v="0"/>
    <b v="1"/>
    <n v="38940525"/>
    <s v="BYRON"/>
    <s v="DENNIS"/>
    <s v="BEST FOOT FORWARD SALES"/>
    <s v=""/>
    <s v="Byron C. Dennis_x000a_B.D.&amp;R. Holistic HealthCare Solutions_x000a_A Division of BEST FOOT FORWARD_x000a_A Health Resource Management Company_x000a_byron@bestfootforwardsales.com_x000a_http://bestfootforwardsales.com_x000a_954-629-8751"/>
    <s v="byron@bestfootforwardsales.com"/>
    <s v="954-629-8751"/>
    <s v="C."/>
    <s v=""/>
    <s v=""/>
    <s v=""/>
    <s v=""/>
    <s v=""/>
    <s v=""/>
    <s v=""/>
    <s v=""/>
    <s v=""/>
    <s v="BEP"/>
    <s v="5960 SW 16TH CT"/>
    <s v="PLANTATION"/>
    <s v="FL"/>
    <s v="33317"/>
    <s v="371616Newsletter Recipient, 372311Business Member"/>
    <m/>
    <x v="0"/>
  </r>
  <r>
    <n v="46020435"/>
    <b v="0"/>
    <b v="0"/>
    <b v="0"/>
    <b v="1"/>
    <b v="0"/>
    <b v="1"/>
    <b v="1"/>
    <b v="0"/>
    <b v="0"/>
    <n v="0"/>
    <n v="0"/>
    <m/>
    <m/>
    <m/>
    <d v="2018-06-06T00:00:00"/>
    <m/>
    <m/>
    <s v=""/>
    <b v="0"/>
    <m/>
    <m/>
    <d v="2018-06-06T00:00:00"/>
    <m/>
    <n v="791522"/>
    <b v="1"/>
    <m/>
    <d v="2018-06-06T00:00:00"/>
    <m/>
    <x v="0"/>
    <b v="1"/>
    <n v="46020435"/>
    <s v="Lauren"/>
    <s v="Dennison"/>
    <s v="Blue Cross Blue Shield of Illinois"/>
    <s v=""/>
    <s v=""/>
    <s v="lauren_dennison@bcbsok.com"/>
    <s v=""/>
    <s v=""/>
    <s v=""/>
    <s v=""/>
    <s v=""/>
    <s v=""/>
    <s v=""/>
    <s v="Blue Cross Blue Shield of Illinois"/>
    <s v=""/>
    <s v=""/>
    <s v=""/>
    <s v=""/>
    <s v=""/>
    <s v=""/>
    <s v=""/>
    <s v=""/>
    <s v="371616Newsletter Recipient, 372306Marketing Committee"/>
    <m/>
    <x v="0"/>
  </r>
  <r>
    <n v="39530282"/>
    <b v="0"/>
    <b v="0"/>
    <b v="0"/>
    <b v="1"/>
    <b v="0"/>
    <b v="1"/>
    <b v="1"/>
    <b v="0"/>
    <b v="0"/>
    <n v="0"/>
    <n v="0"/>
    <m/>
    <d v="2018-03-22T00:00:00"/>
    <n v="32127162"/>
    <d v="2017-06-27T00:00:00"/>
    <m/>
    <m/>
    <s v=""/>
    <b v="0"/>
    <m/>
    <m/>
    <d v="2017-06-27T00:00:00"/>
    <m/>
    <n v="791522"/>
    <b v="1"/>
    <m/>
    <m/>
    <m/>
    <x v="0"/>
    <b v="1"/>
    <n v="39530282"/>
    <s v=""/>
    <s v="DentaQuest Provider Relations"/>
    <s v="CountyCare Health Plan"/>
    <s v=""/>
    <s v="http://www.dentaquest.com/state-plans/regions/illinois/il-dentist-page/"/>
    <s v=""/>
    <s v="(888) 281-2076"/>
    <s v=""/>
    <s v=""/>
    <s v=""/>
    <s v=""/>
    <s v=""/>
    <s v=""/>
    <s v=""/>
    <s v=""/>
    <s v=""/>
    <s v=""/>
    <s v=""/>
    <s v=""/>
    <s v=""/>
    <s v=""/>
    <s v=""/>
    <s v="420926Dental - Contracts, 420927Dental - Claims &amp; Billing"/>
    <s v="10633525Contracts, 10633526Claims/Billing"/>
    <x v="0"/>
  </r>
  <r>
    <n v="37819505"/>
    <b v="0"/>
    <b v="0"/>
    <b v="0"/>
    <b v="1"/>
    <b v="0"/>
    <b v="1"/>
    <b v="1"/>
    <b v="0"/>
    <b v="0"/>
    <n v="0"/>
    <n v="0"/>
    <m/>
    <d v="2018-02-08T00:00:00"/>
    <n v="32127162"/>
    <d v="2017-02-24T00:00:00"/>
    <m/>
    <m/>
    <s v=""/>
    <b v="0"/>
    <m/>
    <m/>
    <d v="2017-02-24T00:00:00"/>
    <m/>
    <n v="791522"/>
    <b v="1"/>
    <m/>
    <m/>
    <m/>
    <x v="0"/>
    <b v="1"/>
    <n v="37819505"/>
    <s v="Kushal"/>
    <s v="Desai"/>
    <s v="IlliniCare"/>
    <s v=""/>
    <s v=""/>
    <s v="KUDESAI@illinicare.com"/>
    <s v=""/>
    <s v=""/>
    <s v=""/>
    <s v=""/>
    <s v=""/>
    <s v=""/>
    <s v=""/>
    <s v=""/>
    <s v=""/>
    <s v=""/>
    <s v=""/>
    <s v=""/>
    <s v=""/>
    <s v=""/>
    <s v=""/>
    <s v=""/>
    <s v="371616Newsletter Recipient"/>
    <m/>
    <x v="0"/>
  </r>
  <r>
    <n v="34514306"/>
    <b v="0"/>
    <b v="0"/>
    <b v="0"/>
    <b v="1"/>
    <b v="0"/>
    <b v="1"/>
    <b v="1"/>
    <b v="0"/>
    <b v="0"/>
    <n v="0"/>
    <n v="0"/>
    <m/>
    <d v="2018-05-04T00:00:00"/>
    <n v="32127162"/>
    <d v="2016-09-16T00:00:00"/>
    <m/>
    <m/>
    <s v=""/>
    <b v="0"/>
    <m/>
    <m/>
    <d v="2016-09-15T00:00:00"/>
    <m/>
    <n v="791522"/>
    <b v="1"/>
    <m/>
    <m/>
    <m/>
    <x v="0"/>
    <b v="1"/>
    <n v="34514306"/>
    <s v="Palak"/>
    <s v="Desai"/>
    <s v="Harmony Health Plan of Illinois - A WellCare Company"/>
    <s v=""/>
    <s v=""/>
    <s v="Palak.Desai@wellcare.com"/>
    <s v="312.516.5898"/>
    <s v=""/>
    <s v=""/>
    <s v=""/>
    <s v=""/>
    <s v=""/>
    <s v=""/>
    <s v=""/>
    <s v=""/>
    <s v=""/>
    <s v=""/>
    <s v=""/>
    <s v=""/>
    <s v=""/>
    <s v=""/>
    <s v=""/>
    <s v="335712Pharmacy/Pharmaceuticals, 371616Newsletter Recipient, 372314Pharmacy Director, 428788Pharmacy Director Committee"/>
    <s v="10633525Contracts, 10633526Claims/Billing"/>
    <x v="0"/>
  </r>
  <r>
    <n v="37819507"/>
    <b v="0"/>
    <b v="0"/>
    <b v="0"/>
    <b v="1"/>
    <b v="0"/>
    <b v="1"/>
    <b v="1"/>
    <b v="0"/>
    <b v="0"/>
    <n v="0"/>
    <n v="0"/>
    <m/>
    <d v="2017-12-06T00:00:00"/>
    <n v="32127162"/>
    <d v="2017-02-24T00:00:00"/>
    <m/>
    <m/>
    <s v=""/>
    <b v="0"/>
    <m/>
    <m/>
    <d v="2017-02-24T00:00:00"/>
    <m/>
    <n v="791522"/>
    <b v="1"/>
    <m/>
    <m/>
    <m/>
    <x v="0"/>
    <b v="1"/>
    <n v="37819507"/>
    <s v="Letitia"/>
    <s v="Dewith-Anderson"/>
    <s v=""/>
    <s v=""/>
    <s v=""/>
    <s v="wjaatalc@gmail.com"/>
    <s v=""/>
    <s v=""/>
    <s v=""/>
    <s v=""/>
    <s v=""/>
    <s v=""/>
    <s v=""/>
    <s v=""/>
    <s v=""/>
    <s v=""/>
    <s v=""/>
    <s v=""/>
    <s v=""/>
    <s v=""/>
    <s v=""/>
    <s v=""/>
    <s v="371616Newsletter Recipient, 372296Legislative Committee, 420911IAMHP Leadership, 428250Hospital Assessment"/>
    <m/>
    <x v="0"/>
  </r>
  <r>
    <n v="34033734"/>
    <b v="0"/>
    <b v="0"/>
    <b v="0"/>
    <b v="1"/>
    <b v="0"/>
    <b v="1"/>
    <b v="1"/>
    <b v="0"/>
    <b v="0"/>
    <n v="0"/>
    <n v="0"/>
    <m/>
    <d v="2018-05-29T00:00:00"/>
    <n v="32127162"/>
    <d v="2016-08-24T00:00:00"/>
    <m/>
    <m/>
    <s v=""/>
    <b v="0"/>
    <m/>
    <m/>
    <d v="2016-08-29T00:00:00"/>
    <m/>
    <n v="791522"/>
    <b v="1"/>
    <m/>
    <m/>
    <m/>
    <x v="0"/>
    <b v="1"/>
    <n v="34033734"/>
    <s v="Rick"/>
    <s v="Deyhle"/>
    <s v="IlliniCare Health"/>
    <s v=""/>
    <s v=""/>
    <s v="RDeyhle@illinicare.com"/>
    <s v="312-260-5350"/>
    <s v=""/>
    <s v=""/>
    <s v=""/>
    <s v=""/>
    <s v=""/>
    <s v=""/>
    <s v=""/>
    <s v=""/>
    <s v=""/>
    <s v=""/>
    <s v=""/>
    <s v=""/>
    <s v=""/>
    <s v=""/>
    <s v=""/>
    <s v="371616Newsletter Recipient, 372297Operations Committee, 447857HFS Ops Workgroup"/>
    <m/>
    <x v="0"/>
  </r>
  <r>
    <n v="37822776"/>
    <b v="0"/>
    <b v="0"/>
    <b v="0"/>
    <b v="1"/>
    <b v="0"/>
    <b v="1"/>
    <b v="1"/>
    <b v="0"/>
    <b v="0"/>
    <n v="0"/>
    <n v="0"/>
    <m/>
    <d v="2017-02-24T00:00:00"/>
    <n v="32127162"/>
    <d v="2017-02-24T00:00:00"/>
    <m/>
    <m/>
    <s v=""/>
    <b v="0"/>
    <m/>
    <m/>
    <d v="2017-02-24T00:00:00"/>
    <m/>
    <n v="791522"/>
    <b v="1"/>
    <m/>
    <m/>
    <m/>
    <x v="0"/>
    <b v="1"/>
    <n v="37822776"/>
    <s v="Victor"/>
    <s v="Dickson"/>
    <s v="Safer Foundation"/>
    <s v=""/>
    <s v=""/>
    <s v="victor.dickson@saferfoundation.org"/>
    <s v="312/922-4767"/>
    <s v="B."/>
    <s v=""/>
    <s v=""/>
    <s v=""/>
    <s v=""/>
    <s v=""/>
    <s v=""/>
    <s v=""/>
    <s v=""/>
    <s v=""/>
    <s v=""/>
    <s v=""/>
    <s v=""/>
    <s v=""/>
    <s v=""/>
    <s v="371616Newsletter Recipient"/>
    <m/>
    <x v="0"/>
  </r>
  <r>
    <n v="37819509"/>
    <b v="0"/>
    <b v="0"/>
    <b v="0"/>
    <b v="1"/>
    <b v="0"/>
    <b v="1"/>
    <b v="1"/>
    <b v="0"/>
    <b v="0"/>
    <n v="0"/>
    <n v="0"/>
    <m/>
    <d v="2017-02-24T00:00:00"/>
    <n v="32127162"/>
    <d v="2017-02-24T00:00:00"/>
    <m/>
    <m/>
    <s v=""/>
    <b v="0"/>
    <m/>
    <m/>
    <d v="2017-02-24T00:00:00"/>
    <m/>
    <n v="791522"/>
    <b v="1"/>
    <m/>
    <m/>
    <m/>
    <x v="0"/>
    <b v="1"/>
    <n v="37819509"/>
    <s v="Paula"/>
    <s v="Dillon"/>
    <s v="Illinois Health and Hospital Association (IHA)"/>
    <s v=""/>
    <s v=""/>
    <s v="pdillon@ihastaff.org"/>
    <s v=""/>
    <s v=""/>
    <s v=""/>
    <s v=""/>
    <s v=""/>
    <s v=""/>
    <s v=""/>
    <s v=""/>
    <s v=""/>
    <s v=""/>
    <s v=""/>
    <s v=""/>
    <s v=""/>
    <s v=""/>
    <s v=""/>
    <s v=""/>
    <s v="371616Newsletter Recipient"/>
    <m/>
    <x v="0"/>
  </r>
  <r>
    <n v="44026959"/>
    <b v="0"/>
    <b v="0"/>
    <b v="0"/>
    <b v="1"/>
    <b v="0"/>
    <b v="1"/>
    <b v="1"/>
    <b v="0"/>
    <b v="0"/>
    <n v="0"/>
    <n v="0"/>
    <m/>
    <d v="2018-05-09T00:00:00"/>
    <n v="32127162"/>
    <d v="2018-03-02T00:00:00"/>
    <m/>
    <m/>
    <s v=""/>
    <b v="0"/>
    <m/>
    <m/>
    <d v="2018-03-02T00:00:00"/>
    <m/>
    <n v="791522"/>
    <b v="1"/>
    <m/>
    <d v="2018-03-02T00:00:00"/>
    <m/>
    <x v="0"/>
    <b v="1"/>
    <n v="44026959"/>
    <s v="Graham"/>
    <s v="Dimmick"/>
    <s v="IlliniCare Health"/>
    <s v=""/>
    <s v=""/>
    <s v="graham.s.dimmick@illinicare.com"/>
    <s v="312.260.5366"/>
    <s v=""/>
    <s v=""/>
    <s v=""/>
    <s v=""/>
    <s v=""/>
    <s v=""/>
    <s v=""/>
    <s v=""/>
    <s v=""/>
    <s v=""/>
    <s v=""/>
    <s v=""/>
    <s v=""/>
    <s v=""/>
    <s v=""/>
    <s v="420973Children's Services - Contracts"/>
    <s v="10633525Contracts"/>
    <x v="0"/>
  </r>
  <r>
    <n v="39391083"/>
    <b v="0"/>
    <b v="0"/>
    <b v="0"/>
    <b v="1"/>
    <b v="0"/>
    <b v="1"/>
    <b v="1"/>
    <b v="0"/>
    <b v="0"/>
    <n v="0"/>
    <n v="0"/>
    <m/>
    <d v="2017-10-19T00:00:00"/>
    <n v="32127162"/>
    <d v="2017-06-20T00:00:00"/>
    <m/>
    <m/>
    <s v=""/>
    <b v="0"/>
    <m/>
    <m/>
    <d v="2017-06-20T00:00:00"/>
    <m/>
    <n v="791522"/>
    <b v="1"/>
    <m/>
    <m/>
    <m/>
    <x v="0"/>
    <b v="1"/>
    <n v="39391083"/>
    <s v="Theodore"/>
    <s v="Dixon"/>
    <s v="NextLevel Health"/>
    <s v=""/>
    <s v=""/>
    <s v="Theodore.Dixon@nlhpartners.com"/>
    <s v=""/>
    <s v=""/>
    <s v=""/>
    <s v=""/>
    <s v=""/>
    <s v=""/>
    <s v=""/>
    <s v=""/>
    <s v="VP of Provider Services"/>
    <s v=""/>
    <s v=""/>
    <s v=""/>
    <s v=""/>
    <s v=""/>
    <s v=""/>
    <s v=""/>
    <s v="335736Provider Relations - Committee Members, 371616Newsletter Recipient"/>
    <m/>
    <x v="0"/>
  </r>
  <r>
    <n v="44047333"/>
    <b v="0"/>
    <b v="0"/>
    <b v="0"/>
    <b v="1"/>
    <b v="0"/>
    <b v="1"/>
    <b v="1"/>
    <b v="0"/>
    <b v="0"/>
    <n v="0"/>
    <n v="0"/>
    <m/>
    <d v="2018-03-02T00:00:00"/>
    <n v="32127162"/>
    <d v="2018-03-02T00:00:00"/>
    <m/>
    <m/>
    <s v=""/>
    <b v="0"/>
    <m/>
    <m/>
    <d v="2018-03-02T00:00:00"/>
    <m/>
    <n v="791522"/>
    <b v="1"/>
    <m/>
    <d v="2018-03-02T00:00:00"/>
    <m/>
    <x v="0"/>
    <b v="1"/>
    <n v="44047333"/>
    <s v="Julie"/>
    <s v="Doetsch"/>
    <s v="Illinois Department of Public Health"/>
    <s v=""/>
    <s v=""/>
    <s v="julie.doetsch@illinois.gov"/>
    <s v=""/>
    <s v=""/>
    <s v=""/>
    <s v=""/>
    <s v=""/>
    <s v=""/>
    <s v=""/>
    <s v=""/>
    <s v=""/>
    <s v=""/>
    <s v=""/>
    <s v=""/>
    <s v=""/>
    <s v=""/>
    <s v=""/>
    <s v=""/>
    <s v="371616Newsletter Recipient"/>
    <m/>
    <x v="0"/>
  </r>
  <r>
    <n v="43748517"/>
    <b v="0"/>
    <b v="0"/>
    <b v="0"/>
    <b v="1"/>
    <b v="0"/>
    <b v="1"/>
    <b v="1"/>
    <b v="0"/>
    <b v="0"/>
    <n v="0"/>
    <n v="0"/>
    <m/>
    <d v="2018-02-13T00:00:00"/>
    <n v="32127162"/>
    <d v="2018-02-13T00:00:00"/>
    <m/>
    <m/>
    <s v=""/>
    <b v="0"/>
    <m/>
    <m/>
    <d v="2018-02-13T00:00:00"/>
    <m/>
    <n v="791522"/>
    <b v="1"/>
    <m/>
    <d v="2018-02-13T00:00:00"/>
    <m/>
    <x v="0"/>
    <b v="1"/>
    <n v="43748517"/>
    <s v="Beverley"/>
    <s v="Domaleczny"/>
    <s v="Blue Cross Blue Shield of Illinois"/>
    <s v=""/>
    <s v=""/>
    <s v="beverley_e_domaleczny@bcbsil.com"/>
    <s v=""/>
    <s v=""/>
    <s v=""/>
    <s v=""/>
    <s v=""/>
    <s v=""/>
    <s v=""/>
    <s v=""/>
    <s v=""/>
    <s v=""/>
    <s v=""/>
    <s v=""/>
    <s v=""/>
    <s v=""/>
    <s v=""/>
    <s v=""/>
    <s v="371616Newsletter Recipient"/>
    <m/>
    <x v="0"/>
  </r>
  <r>
    <n v="37819531"/>
    <b v="0"/>
    <b v="0"/>
    <b v="0"/>
    <b v="1"/>
    <b v="0"/>
    <b v="1"/>
    <b v="1"/>
    <b v="0"/>
    <b v="0"/>
    <n v="0"/>
    <n v="0"/>
    <m/>
    <d v="2018-03-15T00:00:00"/>
    <n v="32127162"/>
    <d v="2017-02-24T00:00:00"/>
    <m/>
    <m/>
    <s v=""/>
    <b v="0"/>
    <m/>
    <m/>
    <d v="2017-02-24T00:00:00"/>
    <m/>
    <n v="791522"/>
    <b v="1"/>
    <m/>
    <m/>
    <m/>
    <x v="0"/>
    <b v="1"/>
    <n v="37819531"/>
    <s v="Jack"/>
    <s v="Dorgan"/>
    <s v="Dorgan / McPike &amp; Associates"/>
    <s v=""/>
    <s v=""/>
    <s v="jack@dbpteam.com"/>
    <s v=""/>
    <s v=""/>
    <s v=""/>
    <s v=""/>
    <s v=""/>
    <s v=""/>
    <s v=""/>
    <s v=""/>
    <s v="Governmental Consultants"/>
    <s v=""/>
    <s v=""/>
    <s v=""/>
    <s v=""/>
    <s v=""/>
    <s v=""/>
    <s v=""/>
    <s v="371616Newsletter Recipient, 372296Legislative Committee"/>
    <m/>
    <x v="0"/>
  </r>
  <r>
    <n v="37819853"/>
    <b v="0"/>
    <b v="0"/>
    <b v="0"/>
    <b v="1"/>
    <b v="0"/>
    <b v="1"/>
    <b v="1"/>
    <b v="0"/>
    <b v="0"/>
    <n v="0"/>
    <n v="0"/>
    <m/>
    <d v="2017-02-24T00:00:00"/>
    <n v="32127162"/>
    <d v="2017-02-24T00:00:00"/>
    <m/>
    <m/>
    <s v=""/>
    <b v="0"/>
    <m/>
    <m/>
    <d v="2017-02-24T00:00:00"/>
    <m/>
    <n v="791522"/>
    <b v="1"/>
    <m/>
    <m/>
    <m/>
    <x v="0"/>
    <b v="1"/>
    <n v="37819853"/>
    <s v="Gary"/>
    <s v="Dougan"/>
    <s v="LIBERTY Dental Plan"/>
    <s v="Dr."/>
    <s v=""/>
    <s v=""/>
    <s v=""/>
    <s v="L."/>
    <s v="DDS MPH"/>
    <s v=""/>
    <s v=""/>
    <s v=""/>
    <s v=""/>
    <s v=""/>
    <s v="National Dental Director"/>
    <s v=""/>
    <s v=""/>
    <s v=""/>
    <s v=""/>
    <s v=""/>
    <s v=""/>
    <s v=""/>
    <s v="371616Newsletter Recipient"/>
    <m/>
    <x v="0"/>
  </r>
  <r>
    <n v="44047435"/>
    <b v="0"/>
    <b v="0"/>
    <b v="0"/>
    <b v="1"/>
    <b v="0"/>
    <b v="1"/>
    <b v="1"/>
    <b v="0"/>
    <b v="0"/>
    <n v="0"/>
    <n v="0"/>
    <m/>
    <d v="2018-03-02T00:00:00"/>
    <n v="32127162"/>
    <d v="2018-03-02T00:00:00"/>
    <m/>
    <m/>
    <s v=""/>
    <b v="0"/>
    <m/>
    <m/>
    <d v="2018-03-02T00:00:00"/>
    <m/>
    <n v="791522"/>
    <b v="1"/>
    <m/>
    <d v="2018-03-02T00:00:00"/>
    <m/>
    <x v="0"/>
    <b v="1"/>
    <n v="44047435"/>
    <s v="Sheri"/>
    <s v="Drotor"/>
    <s v="Cumberland County Health Department"/>
    <s v=""/>
    <s v=""/>
    <s v="shd@cumberlandhealth.org"/>
    <s v=""/>
    <s v=""/>
    <s v=""/>
    <s v=""/>
    <s v=""/>
    <s v=""/>
    <s v=""/>
    <s v=""/>
    <s v=""/>
    <s v=""/>
    <s v=""/>
    <s v=""/>
    <s v=""/>
    <s v=""/>
    <s v=""/>
    <s v=""/>
    <s v="371616Newsletter Recipient"/>
    <m/>
    <x v="0"/>
  </r>
  <r>
    <n v="37778754"/>
    <b v="0"/>
    <b v="0"/>
    <b v="0"/>
    <b v="1"/>
    <b v="0"/>
    <b v="1"/>
    <b v="1"/>
    <b v="0"/>
    <b v="0"/>
    <n v="0"/>
    <n v="0"/>
    <m/>
    <d v="2017-02-24T00:00:00"/>
    <n v="32127162"/>
    <d v="2017-02-20T00:00:00"/>
    <m/>
    <m/>
    <s v=""/>
    <b v="0"/>
    <m/>
    <m/>
    <d v="2017-02-20T00:00:00"/>
    <m/>
    <n v="791522"/>
    <b v="1"/>
    <m/>
    <m/>
    <m/>
    <x v="0"/>
    <b v="1"/>
    <n v="37778754"/>
    <s v="Scott"/>
    <s v="Drury"/>
    <s v="Illinois General Assembly"/>
    <s v=""/>
    <s v="Representative Scott Drury (D)_x000a_58th District_x0009_ _x0009__x000a__x000a_Springfield Office:_x000a_292-S Stratton Office Building_x000a_Springfield, IL   62706_x000a_(217) 782-0902_x000a__x000a_District Office:_x000a_425 Sheridan Rd._x000a_Highwood, IL  60040_x000a_(847) 681-8580"/>
    <s v="repdrury@gmail.com"/>
    <s v=""/>
    <s v=""/>
    <s v=""/>
    <s v=""/>
    <s v=""/>
    <s v=""/>
    <s v=""/>
    <s v=""/>
    <s v=""/>
    <s v=""/>
    <s v=""/>
    <s v=""/>
    <s v=""/>
    <s v=""/>
    <s v=""/>
    <s v=""/>
    <s v="371616Newsletter Recipient, 371627House of Representatives"/>
    <m/>
    <x v="0"/>
  </r>
  <r>
    <n v="42751169"/>
    <b v="0"/>
    <b v="0"/>
    <b v="1"/>
    <b v="1"/>
    <b v="0"/>
    <b v="1"/>
    <b v="1"/>
    <b v="0"/>
    <b v="0"/>
    <n v="0"/>
    <n v="0"/>
    <m/>
    <d v="2017-11-30T00:00:00"/>
    <n v="32127162"/>
    <d v="2017-11-27T00:00:00"/>
    <d v="2017-11-30T00:00:00"/>
    <m/>
    <s v=""/>
    <b v="1"/>
    <m/>
    <m/>
    <d v="2017-11-30T00:00:00"/>
    <m/>
    <n v="791522"/>
    <b v="1"/>
    <m/>
    <d v="2017-11-30T00:00:00"/>
    <m/>
    <x v="0"/>
    <b v="1"/>
    <n v="42751169"/>
    <s v="KayCee"/>
    <s v="Dudek"/>
    <s v="Bond County Health Department"/>
    <s v="Biller"/>
    <s v=""/>
    <s v="kdudek@bchd.us"/>
    <s v="6186641455"/>
    <s v=""/>
    <s v=""/>
    <s v=""/>
    <s v=""/>
    <s v=""/>
    <s v=""/>
    <s v=""/>
    <s v=""/>
    <s v=""/>
    <s v=""/>
    <s v=""/>
    <s v=""/>
    <s v=""/>
    <s v=""/>
    <s v=""/>
    <s v="371616Newsletter Recipient"/>
    <m/>
    <x v="0"/>
  </r>
  <r>
    <n v="38941647"/>
    <b v="0"/>
    <b v="0"/>
    <b v="1"/>
    <b v="1"/>
    <b v="0"/>
    <b v="1"/>
    <b v="1"/>
    <b v="0"/>
    <b v="0"/>
    <n v="0"/>
    <n v="0"/>
    <m/>
    <d v="2017-06-21T00:00:00"/>
    <n v="32127162"/>
    <d v="2017-05-17T00:00:00"/>
    <m/>
    <m/>
    <s v=""/>
    <b v="0"/>
    <m/>
    <m/>
    <d v="2017-05-17T00:00:00"/>
    <m/>
    <n v="791522"/>
    <b v="1"/>
    <m/>
    <m/>
    <m/>
    <x v="0"/>
    <b v="1"/>
    <n v="38941647"/>
    <s v="Rich"/>
    <s v="Dudley"/>
    <s v="Best Foot Forward dba BD&amp;R Holistic Healthcare Solutions"/>
    <s v=""/>
    <s v="Rich Dudley_x000a_B.D.&amp;R. Holistic HealthCare Solutions_x000a_A Division of BEST FOOT FORWARD_x000a_A Health Resource Management Company_x000a_rich@bestfootforwardsales.com_x000a_847-738-8980"/>
    <s v="rich@bestfootforwardsales.com"/>
    <s v="847-738-8980"/>
    <s v=""/>
    <s v=""/>
    <s v=""/>
    <s v=""/>
    <s v=""/>
    <s v=""/>
    <s v=""/>
    <s v=""/>
    <s v=""/>
    <s v=""/>
    <s v=""/>
    <s v=""/>
    <s v=""/>
    <s v=""/>
    <s v=""/>
    <s v="371616Newsletter Recipient, 372311Business Member"/>
    <m/>
    <x v="0"/>
  </r>
  <r>
    <n v="37819537"/>
    <b v="0"/>
    <b v="0"/>
    <b v="1"/>
    <b v="1"/>
    <b v="0"/>
    <b v="1"/>
    <b v="1"/>
    <b v="0"/>
    <b v="0"/>
    <n v="0"/>
    <n v="0"/>
    <m/>
    <d v="2017-02-24T00:00:00"/>
    <n v="32127162"/>
    <d v="2017-02-24T00:00:00"/>
    <m/>
    <m/>
    <s v=""/>
    <b v="0"/>
    <m/>
    <m/>
    <d v="2017-02-24T00:00:00"/>
    <m/>
    <n v="791522"/>
    <b v="1"/>
    <m/>
    <m/>
    <m/>
    <x v="0"/>
    <b v="1"/>
    <n v="37819537"/>
    <s v="Grace Hong"/>
    <s v="Duffin"/>
    <s v="Kenneth Young Center"/>
    <s v=""/>
    <s v=""/>
    <s v="graceh@kennethyoung.org"/>
    <s v=""/>
    <s v=""/>
    <s v=""/>
    <s v=""/>
    <s v=""/>
    <s v=""/>
    <s v=""/>
    <s v=""/>
    <s v="Director of Strategy &amp; Operations"/>
    <s v=""/>
    <s v=""/>
    <s v=""/>
    <s v=""/>
    <s v=""/>
    <s v=""/>
    <s v=""/>
    <s v="371616Newsletter Recipient"/>
    <m/>
    <x v="0"/>
  </r>
  <r>
    <n v="37822562"/>
    <b v="0"/>
    <b v="0"/>
    <b v="0"/>
    <b v="1"/>
    <b v="0"/>
    <b v="1"/>
    <b v="1"/>
    <b v="0"/>
    <b v="0"/>
    <n v="0"/>
    <n v="0"/>
    <m/>
    <d v="2017-10-20T00:00:00"/>
    <n v="32127162"/>
    <d v="2017-02-24T00:00:00"/>
    <m/>
    <m/>
    <s v=""/>
    <b v="0"/>
    <m/>
    <m/>
    <d v="2017-02-24T00:00:00"/>
    <m/>
    <n v="791522"/>
    <b v="1"/>
    <m/>
    <m/>
    <m/>
    <x v="0"/>
    <b v="1"/>
    <n v="37822562"/>
    <s v="Joy"/>
    <s v="Duling"/>
    <s v="a 25 hour day"/>
    <s v=""/>
    <s v=""/>
    <s v="joy@a25hourday.com"/>
    <s v="(309) 202-1599"/>
    <s v=""/>
    <s v=""/>
    <s v=""/>
    <s v=""/>
    <s v=""/>
    <s v=""/>
    <s v=""/>
    <s v=""/>
    <s v=""/>
    <s v=""/>
    <s v=""/>
    <s v=""/>
    <s v=""/>
    <s v=""/>
    <s v=""/>
    <s v="371616Newsletter Recipient, 405964IAMHP Staff"/>
    <m/>
    <x v="0"/>
  </r>
  <r>
    <n v="42678221"/>
    <b v="0"/>
    <b v="0"/>
    <b v="0"/>
    <b v="1"/>
    <b v="0"/>
    <b v="1"/>
    <b v="1"/>
    <b v="0"/>
    <b v="0"/>
    <n v="0"/>
    <n v="0"/>
    <m/>
    <d v="2018-02-12T00:00:00"/>
    <n v="32127162"/>
    <d v="2017-11-17T00:00:00"/>
    <m/>
    <m/>
    <s v=""/>
    <b v="0"/>
    <m/>
    <m/>
    <d v="2017-11-17T00:00:00"/>
    <m/>
    <n v="791522"/>
    <b v="1"/>
    <m/>
    <d v="2017-11-17T00:00:00"/>
    <m/>
    <x v="0"/>
    <b v="1"/>
    <n v="42678221"/>
    <s v="Michelle"/>
    <s v="Duncan"/>
    <s v="Harrisburg Medical Center"/>
    <s v=""/>
    <s v=""/>
    <s v="mduncan@harrisburgmc.com"/>
    <s v=""/>
    <s v=""/>
    <s v=""/>
    <s v=""/>
    <s v=""/>
    <s v=""/>
    <s v=""/>
    <s v="Harrisburg Medical Center"/>
    <s v=""/>
    <s v=""/>
    <s v=""/>
    <s v=""/>
    <s v=""/>
    <s v=""/>
    <s v=""/>
    <s v=""/>
    <s v="371616Newsletter Recipient"/>
    <m/>
    <x v="0"/>
  </r>
  <r>
    <n v="43018776"/>
    <b v="0"/>
    <b v="0"/>
    <b v="0"/>
    <b v="1"/>
    <b v="0"/>
    <b v="1"/>
    <b v="1"/>
    <b v="0"/>
    <b v="0"/>
    <n v="0"/>
    <n v="0"/>
    <m/>
    <d v="2017-12-21T00:00:00"/>
    <n v="32127162"/>
    <d v="2017-12-21T00:00:00"/>
    <m/>
    <m/>
    <s v=""/>
    <b v="0"/>
    <m/>
    <m/>
    <d v="2017-12-21T00:00:00"/>
    <m/>
    <n v="791522"/>
    <b v="1"/>
    <m/>
    <d v="2017-12-21T00:00:00"/>
    <m/>
    <x v="0"/>
    <b v="1"/>
    <n v="43018776"/>
    <s v="Jon"/>
    <s v="Dunker"/>
    <s v="Covenant Retirement Communities"/>
    <s v=""/>
    <s v=""/>
    <s v="jodunker@covenantretirement.org"/>
    <s v=""/>
    <s v=""/>
    <s v=""/>
    <s v=""/>
    <s v=""/>
    <s v=""/>
    <s v=""/>
    <s v=""/>
    <s v=""/>
    <s v=""/>
    <s v=""/>
    <s v=""/>
    <s v=""/>
    <s v=""/>
    <s v=""/>
    <s v=""/>
    <s v="371616Newsletter Recipient"/>
    <m/>
    <x v="0"/>
  </r>
  <r>
    <n v="42678273"/>
    <b v="0"/>
    <b v="0"/>
    <b v="0"/>
    <b v="1"/>
    <b v="0"/>
    <b v="1"/>
    <b v="1"/>
    <b v="0"/>
    <b v="0"/>
    <n v="0"/>
    <n v="0"/>
    <m/>
    <d v="2018-02-12T00:00:00"/>
    <n v="32127162"/>
    <d v="2017-11-17T00:00:00"/>
    <m/>
    <m/>
    <s v=""/>
    <b v="0"/>
    <m/>
    <m/>
    <d v="2017-11-17T00:00:00"/>
    <m/>
    <n v="791522"/>
    <b v="1"/>
    <m/>
    <d v="2017-11-17T00:00:00"/>
    <m/>
    <x v="0"/>
    <b v="1"/>
    <n v="42678273"/>
    <s v="Jennifer"/>
    <s v="Durham"/>
    <s v="Harrisburg Medical Center"/>
    <s v=""/>
    <s v=""/>
    <s v="jdurham@harrisburgmc.com"/>
    <s v=""/>
    <s v=""/>
    <s v=""/>
    <s v=""/>
    <s v=""/>
    <s v=""/>
    <s v=""/>
    <s v="Harrisburg Medical Center"/>
    <s v=""/>
    <s v=""/>
    <s v=""/>
    <s v=""/>
    <s v=""/>
    <s v=""/>
    <s v=""/>
    <s v=""/>
    <s v="371616Newsletter Recipient"/>
    <m/>
    <x v="0"/>
  </r>
  <r>
    <n v="42933964"/>
    <b v="0"/>
    <b v="0"/>
    <b v="1"/>
    <b v="1"/>
    <b v="0"/>
    <b v="1"/>
    <b v="1"/>
    <b v="0"/>
    <b v="0"/>
    <n v="0"/>
    <n v="0"/>
    <m/>
    <d v="2018-02-12T00:00:00"/>
    <n v="32127162"/>
    <d v="2017-12-13T00:00:00"/>
    <m/>
    <m/>
    <s v=""/>
    <b v="0"/>
    <m/>
    <m/>
    <d v="2017-12-13T00:00:00"/>
    <m/>
    <n v="791522"/>
    <b v="1"/>
    <m/>
    <d v="2017-12-13T00:00:00"/>
    <m/>
    <x v="0"/>
    <b v="1"/>
    <n v="42933964"/>
    <s v="Eileen"/>
    <s v="Durkin"/>
    <s v="Association of Community Mental Health Authorities of Illinois"/>
    <s v=""/>
    <s v=""/>
    <s v="edurkin@acmhai.org"/>
    <s v=""/>
    <s v=""/>
    <s v=""/>
    <s v=""/>
    <s v=""/>
    <s v=""/>
    <s v=""/>
    <s v="Association of Community Mental Health Authorities of Illinois"/>
    <s v=""/>
    <s v=""/>
    <s v=""/>
    <s v=""/>
    <s v=""/>
    <s v=""/>
    <s v=""/>
    <s v=""/>
    <s v="371616Newsletter Recipient"/>
    <m/>
    <x v="0"/>
  </r>
  <r>
    <n v="37778761"/>
    <b v="0"/>
    <b v="0"/>
    <b v="0"/>
    <b v="1"/>
    <b v="0"/>
    <b v="1"/>
    <b v="1"/>
    <b v="0"/>
    <b v="0"/>
    <n v="0"/>
    <n v="0"/>
    <m/>
    <d v="2017-02-24T00:00:00"/>
    <n v="32127162"/>
    <d v="2017-02-20T00:00:00"/>
    <m/>
    <m/>
    <s v=""/>
    <b v="0"/>
    <m/>
    <m/>
    <d v="2017-02-20T00:00:00"/>
    <m/>
    <n v="791522"/>
    <b v="1"/>
    <m/>
    <m/>
    <m/>
    <x v="0"/>
    <b v="1"/>
    <n v="37778761"/>
    <s v="Jim"/>
    <s v="Durkin"/>
    <s v="Illinois General Assembly"/>
    <s v=""/>
    <s v="Representative Jim Durkin (R)_x000a_82nd District_x000a_House Republican Leader _x0009__x000a__x000a_Springfield Office:_x000a_316 Capitol Building_x000a_Springfield, IL   62706_x000a_(217) 782-0494_x000a_(217) 782-7012 FAX_x000a__x000a_District Office:_x000a_16W281 83rd St._x000a_Suite C_x000a_Burr Ridge, IL  60527_x000a_(630) 325-2028_x000a_(630) 325-2291 FAX"/>
    <s v="Durkin@ILHouseGOP.org"/>
    <s v=""/>
    <s v=""/>
    <s v=""/>
    <s v=""/>
    <s v=""/>
    <s v=""/>
    <s v=""/>
    <s v=""/>
    <s v=""/>
    <s v=""/>
    <s v=""/>
    <s v=""/>
    <s v=""/>
    <s v=""/>
    <s v=""/>
    <s v=""/>
    <s v="371616Newsletter Recipient, 371627House of Representatives"/>
    <m/>
    <x v="0"/>
  </r>
  <r>
    <n v="46436591"/>
    <b v="0"/>
    <b v="0"/>
    <b v="0"/>
    <b v="1"/>
    <b v="0"/>
    <b v="1"/>
    <b v="1"/>
    <b v="0"/>
    <b v="0"/>
    <n v="0"/>
    <n v="0"/>
    <m/>
    <d v="2018-06-21T00:00:00"/>
    <n v="32127162"/>
    <d v="2018-06-21T00:00:00"/>
    <m/>
    <m/>
    <s v=""/>
    <b v="0"/>
    <m/>
    <m/>
    <d v="2018-06-21T00:00:00"/>
    <m/>
    <n v="791522"/>
    <b v="1"/>
    <m/>
    <d v="2018-06-21T00:00:00"/>
    <m/>
    <x v="0"/>
    <b v="1"/>
    <n v="46436591"/>
    <s v="Yvonne"/>
    <s v="Dyer"/>
    <s v="Royal Estates Assistive Living"/>
    <s v=""/>
    <s v=""/>
    <s v="yvonne@royalestatesal.com"/>
    <s v=""/>
    <s v="W."/>
    <s v=""/>
    <s v=""/>
    <s v=""/>
    <s v=""/>
    <s v=""/>
    <s v="Royal Estates Assistive Living"/>
    <s v=""/>
    <s v=""/>
    <s v=""/>
    <s v=""/>
    <s v=""/>
    <s v=""/>
    <s v=""/>
    <s v=""/>
    <s v="371616Newsletter Recipient"/>
    <m/>
    <x v="0"/>
  </r>
  <r>
    <n v="37822552"/>
    <b v="0"/>
    <b v="0"/>
    <b v="0"/>
    <b v="1"/>
    <b v="0"/>
    <b v="1"/>
    <b v="1"/>
    <b v="0"/>
    <b v="0"/>
    <n v="0"/>
    <n v="0"/>
    <m/>
    <d v="2017-02-24T00:00:00"/>
    <n v="32127162"/>
    <d v="2017-02-24T00:00:00"/>
    <m/>
    <m/>
    <s v=""/>
    <b v="0"/>
    <m/>
    <m/>
    <d v="2017-02-24T00:00:00"/>
    <m/>
    <n v="791522"/>
    <b v="1"/>
    <m/>
    <m/>
    <m/>
    <x v="0"/>
    <b v="1"/>
    <n v="37822552"/>
    <s v="Shelly"/>
    <s v="Ebbert"/>
    <s v=""/>
    <s v=""/>
    <s v=""/>
    <s v="Sebbert@addus.com"/>
    <s v=""/>
    <s v=""/>
    <s v=""/>
    <s v=""/>
    <s v=""/>
    <s v=""/>
    <s v=""/>
    <s v=""/>
    <s v=""/>
    <s v=""/>
    <s v=""/>
    <s v=""/>
    <s v=""/>
    <s v=""/>
    <s v=""/>
    <s v=""/>
    <s v="371616Newsletter Recipient"/>
    <m/>
    <x v="0"/>
  </r>
  <r>
    <n v="34094009"/>
    <b v="0"/>
    <b v="0"/>
    <b v="0"/>
    <b v="1"/>
    <b v="0"/>
    <b v="1"/>
    <b v="1"/>
    <b v="0"/>
    <b v="0"/>
    <n v="0"/>
    <n v="0"/>
    <m/>
    <d v="2017-06-28T00:00:00"/>
    <n v="32127162"/>
    <d v="2016-08-29T00:00:00"/>
    <m/>
    <m/>
    <s v=""/>
    <b v="0"/>
    <m/>
    <m/>
    <d v="2016-08-29T00:00:00"/>
    <m/>
    <n v="791522"/>
    <b v="1"/>
    <m/>
    <m/>
    <m/>
    <x v="0"/>
    <b v="1"/>
    <n v="34094009"/>
    <s v="Amy"/>
    <s v="Edders"/>
    <s v="Community Care Alliance of Illinois (CCAI)"/>
    <s v=""/>
    <s v="Director, LTSS"/>
    <s v="AEdders@ccaillinois.com"/>
    <s v="312-605-9822"/>
    <s v=""/>
    <s v=""/>
    <s v=""/>
    <s v=""/>
    <s v=""/>
    <s v=""/>
    <s v=""/>
    <s v=""/>
    <s v=""/>
    <s v=""/>
    <s v=""/>
    <s v=""/>
    <s v=""/>
    <s v=""/>
    <s v=""/>
    <s v="371616Newsletter Recipient"/>
    <m/>
    <x v="0"/>
  </r>
  <r>
    <n v="41944261"/>
    <b v="0"/>
    <b v="0"/>
    <b v="0"/>
    <b v="1"/>
    <b v="0"/>
    <b v="1"/>
    <b v="1"/>
    <b v="0"/>
    <b v="0"/>
    <n v="0"/>
    <n v="0"/>
    <m/>
    <d v="2018-02-12T00:00:00"/>
    <n v="32127162"/>
    <d v="2017-10-12T00:00:00"/>
    <m/>
    <m/>
    <s v=""/>
    <b v="0"/>
    <m/>
    <m/>
    <d v="2017-10-12T00:00:00"/>
    <m/>
    <n v="791522"/>
    <b v="1"/>
    <m/>
    <d v="2017-10-12T00:00:00"/>
    <m/>
    <x v="0"/>
    <b v="1"/>
    <n v="41944261"/>
    <s v="Jodie"/>
    <s v="Edmonds"/>
    <s v="Quorum Health"/>
    <s v=""/>
    <s v=""/>
    <s v="jodie_edmonds@metrosouthmedicalcenter.com"/>
    <s v=""/>
    <s v=""/>
    <s v=""/>
    <s v=""/>
    <s v=""/>
    <s v=""/>
    <s v=""/>
    <s v=""/>
    <s v=""/>
    <s v=""/>
    <s v=""/>
    <s v=""/>
    <s v=""/>
    <s v=""/>
    <s v=""/>
    <s v=""/>
    <s v="371616Newsletter Recipient"/>
    <m/>
    <x v="0"/>
  </r>
  <r>
    <n v="46436617"/>
    <b v="0"/>
    <b v="0"/>
    <b v="0"/>
    <b v="1"/>
    <b v="0"/>
    <b v="1"/>
    <b v="1"/>
    <b v="0"/>
    <b v="0"/>
    <n v="0"/>
    <n v="0"/>
    <m/>
    <d v="2018-06-21T00:00:00"/>
    <n v="32127162"/>
    <d v="2018-06-21T00:00:00"/>
    <m/>
    <m/>
    <s v=""/>
    <b v="0"/>
    <m/>
    <m/>
    <d v="2018-06-21T00:00:00"/>
    <m/>
    <n v="791522"/>
    <b v="1"/>
    <m/>
    <d v="2018-06-21T00:00:00"/>
    <m/>
    <x v="0"/>
    <b v="1"/>
    <n v="46436617"/>
    <s v="Marc"/>
    <s v="Edtak"/>
    <s v="The Fort Armstrong"/>
    <s v=""/>
    <s v=""/>
    <s v="medtak1@yahoo.com"/>
    <s v=""/>
    <s v=""/>
    <s v=""/>
    <s v=""/>
    <s v=""/>
    <s v=""/>
    <s v=""/>
    <s v="The Fort Armstrong"/>
    <s v=""/>
    <s v=""/>
    <s v=""/>
    <s v=""/>
    <s v=""/>
    <s v=""/>
    <s v=""/>
    <s v=""/>
    <s v="371616Newsletter Recipient"/>
    <m/>
    <x v="0"/>
  </r>
  <r>
    <n v="43760628"/>
    <b v="0"/>
    <b v="0"/>
    <b v="0"/>
    <b v="1"/>
    <b v="0"/>
    <b v="1"/>
    <b v="1"/>
    <b v="0"/>
    <b v="0"/>
    <n v="0"/>
    <n v="0"/>
    <m/>
    <d v="2018-02-14T00:00:00"/>
    <n v="32127162"/>
    <d v="2018-02-14T00:00:00"/>
    <m/>
    <m/>
    <s v=""/>
    <b v="0"/>
    <m/>
    <m/>
    <d v="2018-02-14T00:00:00"/>
    <m/>
    <n v="791522"/>
    <b v="1"/>
    <m/>
    <d v="2018-02-14T00:00:00"/>
    <m/>
    <x v="0"/>
    <b v="1"/>
    <n v="43760628"/>
    <s v="Dee"/>
    <s v="Edwards"/>
    <s v="Heritage Operations Group"/>
    <s v=""/>
    <s v=""/>
    <s v="dedwards1@heritageofcare.com"/>
    <s v=""/>
    <s v=""/>
    <s v=""/>
    <s v=""/>
    <s v=""/>
    <s v=""/>
    <s v=""/>
    <s v=""/>
    <s v=""/>
    <s v=""/>
    <s v=""/>
    <s v=""/>
    <s v=""/>
    <s v=""/>
    <s v=""/>
    <s v=""/>
    <s v="371616Newsletter Recipient"/>
    <m/>
    <x v="0"/>
  </r>
  <r>
    <n v="39530349"/>
    <b v="0"/>
    <b v="0"/>
    <b v="0"/>
    <b v="1"/>
    <b v="0"/>
    <b v="1"/>
    <b v="1"/>
    <b v="0"/>
    <b v="0"/>
    <n v="0"/>
    <n v="0"/>
    <m/>
    <d v="2018-03-02T00:00:00"/>
    <n v="32127162"/>
    <d v="2017-06-27T00:00:00"/>
    <m/>
    <m/>
    <s v=""/>
    <b v="0"/>
    <m/>
    <m/>
    <d v="2017-06-27T00:00:00"/>
    <m/>
    <n v="791522"/>
    <b v="1"/>
    <m/>
    <m/>
    <m/>
    <x v="0"/>
    <b v="1"/>
    <n v="39530349"/>
    <s v="Marcy"/>
    <s v="Elamin"/>
    <s v="CountyCare Health Plan"/>
    <s v=""/>
    <s v=""/>
    <s v="melamin@cookcountyhhs.org"/>
    <s v="312-864-1164"/>
    <s v=""/>
    <s v=""/>
    <s v=""/>
    <s v=""/>
    <s v=""/>
    <s v=""/>
    <s v=""/>
    <s v=""/>
    <s v=""/>
    <s v=""/>
    <s v=""/>
    <s v=""/>
    <s v=""/>
    <s v=""/>
    <s v=""/>
    <s v="371616Newsletter Recipient"/>
    <m/>
    <x v="0"/>
  </r>
  <r>
    <n v="40909570"/>
    <b v="0"/>
    <b v="0"/>
    <b v="0"/>
    <b v="1"/>
    <b v="0"/>
    <b v="1"/>
    <b v="1"/>
    <b v="0"/>
    <b v="0"/>
    <n v="0"/>
    <n v="0"/>
    <m/>
    <d v="2017-08-07T00:00:00"/>
    <n v="32127162"/>
    <d v="2017-08-07T00:00:00"/>
    <m/>
    <m/>
    <s v=""/>
    <b v="0"/>
    <m/>
    <m/>
    <d v="2017-08-07T00:00:00"/>
    <m/>
    <n v="791522"/>
    <b v="1"/>
    <m/>
    <m/>
    <m/>
    <x v="0"/>
    <b v="1"/>
    <n v="40909570"/>
    <s v="Mary"/>
    <s v="Elsner"/>
    <s v="Illinois Chapter, American Academy of Pediatrics (ICAAP)"/>
    <s v="Director, Obesity Prevention Initiatives"/>
    <s v=""/>
    <s v="melsner@illinoisaap.com"/>
    <s v="312/733-1026, Ext. 220"/>
    <s v=""/>
    <s v=""/>
    <s v=""/>
    <s v=""/>
    <s v=""/>
    <s v=""/>
    <s v=""/>
    <s v=""/>
    <s v=""/>
    <s v=""/>
    <s v=""/>
    <s v=""/>
    <s v=""/>
    <s v=""/>
    <s v=""/>
    <s v="371616Newsletter Recipient"/>
    <m/>
    <x v="0"/>
  </r>
  <r>
    <n v="37819540"/>
    <b v="0"/>
    <b v="0"/>
    <b v="0"/>
    <b v="1"/>
    <b v="0"/>
    <b v="1"/>
    <b v="1"/>
    <b v="0"/>
    <b v="0"/>
    <n v="0"/>
    <n v="0"/>
    <m/>
    <d v="2018-06-14T00:00:00"/>
    <n v="32127162"/>
    <d v="2017-02-24T00:00:00"/>
    <m/>
    <m/>
    <s v=""/>
    <b v="0"/>
    <m/>
    <m/>
    <d v="2017-02-24T00:00:00"/>
    <m/>
    <n v="791522"/>
    <b v="1"/>
    <m/>
    <m/>
    <m/>
    <x v="0"/>
    <b v="1"/>
    <n v="37819540"/>
    <s v="Douglas"/>
    <s v="Elwell"/>
    <s v="CountyCare Health Plan"/>
    <s v=""/>
    <s v=""/>
    <s v="delwell@cookcountyhhs.org"/>
    <s v=""/>
    <s v=""/>
    <s v=""/>
    <s v=""/>
    <s v=""/>
    <s v=""/>
    <s v=""/>
    <s v=""/>
    <s v=""/>
    <s v=""/>
    <s v=""/>
    <s v=""/>
    <s v=""/>
    <s v=""/>
    <s v=""/>
    <s v=""/>
    <s v="372295Board of Directors/General Distribution List, 428250Hospital Assessment"/>
    <m/>
    <x v="0"/>
  </r>
  <r>
    <n v="42678265"/>
    <b v="0"/>
    <b v="0"/>
    <b v="0"/>
    <b v="1"/>
    <b v="0"/>
    <b v="1"/>
    <b v="1"/>
    <b v="0"/>
    <b v="0"/>
    <n v="0"/>
    <n v="0"/>
    <m/>
    <d v="2018-02-12T00:00:00"/>
    <n v="32127162"/>
    <d v="2017-11-17T00:00:00"/>
    <m/>
    <m/>
    <s v=""/>
    <b v="0"/>
    <m/>
    <m/>
    <d v="2017-11-17T00:00:00"/>
    <m/>
    <n v="791522"/>
    <b v="1"/>
    <m/>
    <d v="2017-11-17T00:00:00"/>
    <m/>
    <x v="0"/>
    <b v="1"/>
    <n v="42678265"/>
    <s v="Jeanne"/>
    <s v="Enz"/>
    <s v="Harrisburg Medical Center"/>
    <s v=""/>
    <s v=""/>
    <s v="jenz@harrisburgmc.com"/>
    <s v=""/>
    <s v=""/>
    <s v=""/>
    <s v=""/>
    <s v=""/>
    <s v=""/>
    <s v=""/>
    <s v="Harrisburg Medical Center"/>
    <s v=""/>
    <s v=""/>
    <s v=""/>
    <s v=""/>
    <s v=""/>
    <s v=""/>
    <s v=""/>
    <s v=""/>
    <s v="371616Newsletter Recipient"/>
    <m/>
    <x v="0"/>
  </r>
  <r>
    <n v="40305240"/>
    <b v="0"/>
    <b v="0"/>
    <b v="0"/>
    <b v="1"/>
    <b v="0"/>
    <b v="1"/>
    <b v="1"/>
    <b v="0"/>
    <b v="0"/>
    <n v="0"/>
    <n v="0"/>
    <m/>
    <d v="2018-03-23T00:00:00"/>
    <n v="32127162"/>
    <d v="2017-07-10T00:00:00"/>
    <m/>
    <m/>
    <s v=""/>
    <b v="0"/>
    <m/>
    <m/>
    <d v="2017-07-10T00:00:00"/>
    <m/>
    <n v="791522"/>
    <b v="1"/>
    <m/>
    <m/>
    <m/>
    <x v="0"/>
    <b v="1"/>
    <n v="40305240"/>
    <s v="Amber"/>
    <s v="Epps"/>
    <s v="Aetna Better Health of Illinois"/>
    <s v=""/>
    <s v=""/>
    <s v="EppsA1@aetna.com"/>
    <s v="(630) 737-6791"/>
    <s v=""/>
    <s v=""/>
    <s v=""/>
    <s v=""/>
    <s v=""/>
    <s v=""/>
    <s v=""/>
    <s v=""/>
    <s v=""/>
    <s v=""/>
    <s v=""/>
    <s v=""/>
    <s v=""/>
    <s v=""/>
    <s v=""/>
    <s v="371616Newsletter Recipient, 420935Home Health - Contracts, 420936Home Health - Claims &amp; Billing, 420937Home Health - Care Coordination"/>
    <s v="10633525Contracts, 10633526Claims/Billing, 10633527Care Coordination"/>
    <x v="0"/>
  </r>
  <r>
    <n v="37819542"/>
    <b v="0"/>
    <b v="0"/>
    <b v="0"/>
    <b v="1"/>
    <b v="0"/>
    <b v="1"/>
    <b v="1"/>
    <b v="0"/>
    <b v="0"/>
    <n v="0"/>
    <n v="0"/>
    <m/>
    <d v="2017-12-06T00:00:00"/>
    <n v="32127162"/>
    <d v="2017-02-24T00:00:00"/>
    <m/>
    <m/>
    <s v=""/>
    <b v="0"/>
    <m/>
    <m/>
    <d v="2017-02-24T00:00:00"/>
    <m/>
    <n v="791522"/>
    <b v="1"/>
    <m/>
    <m/>
    <m/>
    <x v="0"/>
    <b v="1"/>
    <n v="37819542"/>
    <s v="Jo"/>
    <s v="Erwin"/>
    <s v="Humana"/>
    <s v=""/>
    <s v=""/>
    <s v="cerwin@humana.com"/>
    <s v=""/>
    <s v=""/>
    <s v=""/>
    <s v=""/>
    <s v=""/>
    <s v=""/>
    <s v=""/>
    <s v=""/>
    <s v=""/>
    <s v=""/>
    <s v=""/>
    <s v=""/>
    <s v=""/>
    <s v=""/>
    <s v=""/>
    <s v=""/>
    <s v="371616Newsletter Recipient, 372294Finance Committee"/>
    <m/>
    <x v="0"/>
  </r>
  <r>
    <n v="37822758"/>
    <b v="0"/>
    <b v="0"/>
    <b v="0"/>
    <b v="1"/>
    <b v="0"/>
    <b v="1"/>
    <b v="1"/>
    <b v="0"/>
    <b v="0"/>
    <n v="0"/>
    <n v="0"/>
    <m/>
    <d v="2017-02-24T00:00:00"/>
    <n v="32127162"/>
    <d v="2017-02-24T00:00:00"/>
    <m/>
    <m/>
    <s v=""/>
    <b v="0"/>
    <m/>
    <m/>
    <d v="2017-02-24T00:00:00"/>
    <m/>
    <n v="791522"/>
    <b v="1"/>
    <m/>
    <m/>
    <m/>
    <x v="0"/>
    <b v="1"/>
    <n v="37822758"/>
    <s v="Joshua"/>
    <s v="Evans"/>
    <s v="IARF"/>
    <s v=""/>
    <s v=""/>
    <s v="jevans@iarf.org"/>
    <s v=""/>
    <s v=""/>
    <s v=""/>
    <s v=""/>
    <s v=""/>
    <s v=""/>
    <s v=""/>
    <s v=""/>
    <s v=""/>
    <s v=""/>
    <s v=""/>
    <s v=""/>
    <s v=""/>
    <s v=""/>
    <s v=""/>
    <s v=""/>
    <s v="371616Newsletter Recipient"/>
    <m/>
    <x v="0"/>
  </r>
  <r>
    <n v="37778769"/>
    <b v="0"/>
    <b v="0"/>
    <b v="0"/>
    <b v="1"/>
    <b v="0"/>
    <b v="1"/>
    <b v="1"/>
    <b v="0"/>
    <b v="0"/>
    <n v="0"/>
    <n v="0"/>
    <m/>
    <d v="2017-02-24T00:00:00"/>
    <n v="32127162"/>
    <d v="2017-02-20T00:00:00"/>
    <m/>
    <m/>
    <s v=""/>
    <b v="0"/>
    <m/>
    <m/>
    <d v="2017-02-20T00:00:00"/>
    <m/>
    <n v="791522"/>
    <b v="1"/>
    <m/>
    <m/>
    <m/>
    <x v="0"/>
    <b v="1"/>
    <n v="37778769"/>
    <s v="Marcus"/>
    <s v="Evans, Jr."/>
    <s v="Illinois General Assembly"/>
    <s v=""/>
    <s v="Representative Marcus C. Evans, Jr. (D)_x000a_33rd District_x0009_ _x0009__x000a__x000a_Springfield Office:_x000a_268-S Stratton Office Building_x000a_Springfield, IL   62706_x000a_(217) 782-8272_x000a_(217) 782-2404 FAX_x000a__x000a_District Office:_x000a_8539 South Cottage Grove Ave._x000a_Chicago, IL  60619_x000a_(773) 783-8492_x000a_(773) 783-8625 FAX"/>
    <s v="Repevans33@gmail.com"/>
    <s v=""/>
    <s v=""/>
    <s v=""/>
    <s v=""/>
    <s v=""/>
    <s v=""/>
    <s v=""/>
    <s v=""/>
    <s v=""/>
    <s v=""/>
    <s v=""/>
    <s v=""/>
    <s v=""/>
    <s v=""/>
    <s v=""/>
    <s v=""/>
    <s v="371616Newsletter Recipient, 371627House of Representatives"/>
    <m/>
    <x v="0"/>
  </r>
  <r>
    <n v="39530405"/>
    <b v="0"/>
    <b v="0"/>
    <b v="0"/>
    <b v="1"/>
    <b v="0"/>
    <b v="1"/>
    <b v="1"/>
    <b v="0"/>
    <b v="0"/>
    <n v="0"/>
    <n v="0"/>
    <m/>
    <d v="2018-06-29T00:00:00"/>
    <n v="32127162"/>
    <d v="2017-06-27T00:00:00"/>
    <m/>
    <m/>
    <s v=""/>
    <b v="0"/>
    <m/>
    <m/>
    <d v="2017-06-27T00:00:00"/>
    <m/>
    <n v="791522"/>
    <b v="1"/>
    <m/>
    <m/>
    <m/>
    <x v="0"/>
    <b v="1"/>
    <n v="39530405"/>
    <s v=""/>
    <s v="eyeQuest Provider Relations"/>
    <s v="CountyCare Health Plan"/>
    <s v=""/>
    <s v=""/>
    <s v="eyeQuestProviderServices@dentaquest.com"/>
    <s v="844-254-9491"/>
    <s v=""/>
    <s v=""/>
    <s v=""/>
    <s v=""/>
    <s v=""/>
    <s v=""/>
    <s v=""/>
    <s v=""/>
    <s v=""/>
    <s v=""/>
    <s v=""/>
    <s v=""/>
    <s v=""/>
    <s v=""/>
    <s v=""/>
    <s v="420963Vision - Contracts, 420964Vision - Claims &amp; Billing, 420965Vision - Care Coordination"/>
    <s v="10633525Contracts, 10633526Claims/Billing, 10633527Care Coordination"/>
    <x v="0"/>
  </r>
  <r>
    <n v="34033733"/>
    <b v="0"/>
    <b v="0"/>
    <b v="0"/>
    <b v="1"/>
    <b v="0"/>
    <b v="1"/>
    <b v="1"/>
    <b v="0"/>
    <b v="0"/>
    <n v="0"/>
    <n v="0"/>
    <m/>
    <d v="2018-05-29T00:00:00"/>
    <n v="32127162"/>
    <d v="2016-08-23T00:00:00"/>
    <m/>
    <m/>
    <s v=""/>
    <b v="0"/>
    <m/>
    <m/>
    <d v="2016-08-29T00:00:00"/>
    <m/>
    <n v="791522"/>
    <b v="1"/>
    <m/>
    <m/>
    <m/>
    <x v="0"/>
    <b v="1"/>
    <n v="34033733"/>
    <s v="Deon"/>
    <s v="Falcon"/>
    <s v="IlliniCare Health"/>
    <s v=""/>
    <s v=""/>
    <s v="dfalcon@illinicare.com"/>
    <s v=""/>
    <s v=""/>
    <s v=""/>
    <s v=""/>
    <s v=""/>
    <s v=""/>
    <s v=""/>
    <s v=""/>
    <s v=""/>
    <s v=""/>
    <s v=""/>
    <s v=""/>
    <s v=""/>
    <s v=""/>
    <s v=""/>
    <s v=""/>
    <s v="335736Provider Relations - Committee Members, 350522Compliance Officer, 371616Newsletter Recipient, 372294Finance Committee, 372297Operations Committee, 372306Marketing Committee, 441580Compliance Committee, 447857HFS Ops Workgroup"/>
    <m/>
    <x v="0"/>
  </r>
  <r>
    <n v="39460362"/>
    <b v="0"/>
    <b v="0"/>
    <b v="0"/>
    <b v="1"/>
    <b v="0"/>
    <b v="1"/>
    <b v="1"/>
    <b v="0"/>
    <b v="0"/>
    <n v="0"/>
    <n v="0"/>
    <m/>
    <d v="2017-06-26T00:00:00"/>
    <n v="32127162"/>
    <d v="2017-06-26T00:00:00"/>
    <m/>
    <m/>
    <s v=""/>
    <b v="0"/>
    <m/>
    <m/>
    <d v="2017-06-26T00:00:00"/>
    <m/>
    <n v="791522"/>
    <b v="1"/>
    <m/>
    <m/>
    <m/>
    <x v="0"/>
    <b v="1"/>
    <n v="39460362"/>
    <s v="John"/>
    <s v="Fallon"/>
    <s v="CSH"/>
    <s v=""/>
    <s v=""/>
    <s v="john.fallon@csh.org"/>
    <s v=""/>
    <s v=""/>
    <s v=""/>
    <s v=""/>
    <s v=""/>
    <s v=""/>
    <s v=""/>
    <s v=""/>
    <s v=""/>
    <s v=""/>
    <s v=""/>
    <s v=""/>
    <s v=""/>
    <s v=""/>
    <s v=""/>
    <s v=""/>
    <s v="371616Newsletter Recipient"/>
    <m/>
    <x v="0"/>
  </r>
  <r>
    <n v="37778775"/>
    <b v="0"/>
    <b v="0"/>
    <b v="0"/>
    <b v="1"/>
    <b v="0"/>
    <b v="1"/>
    <b v="1"/>
    <b v="0"/>
    <b v="0"/>
    <n v="0"/>
    <n v="0"/>
    <m/>
    <d v="2017-02-24T00:00:00"/>
    <n v="32127162"/>
    <d v="2017-02-20T00:00:00"/>
    <m/>
    <m/>
    <s v=""/>
    <b v="0"/>
    <m/>
    <m/>
    <d v="2017-02-20T00:00:00"/>
    <m/>
    <n v="791522"/>
    <b v="1"/>
    <m/>
    <m/>
    <m/>
    <x v="0"/>
    <b v="1"/>
    <n v="37778775"/>
    <s v="Sara"/>
    <s v="Feigenholtz"/>
    <s v="Illinois General Assembly"/>
    <s v=""/>
    <s v="Representative Sara Feigenholtz (D)_x000a_12th District_x000a_Assistant Majority Leader_x000a__x000a_Springfield Office:_x000a_300 Capitol Building_x000a_Springfield, IL   62706_x000a_(217) 782-8062_x000a__x000a_District Office:_x000a_3223 N. Sheffield_x000a_Suite A_x000a_Chicago, IL  60657_x000a_(773) 296-4141_x000a_(773) 296-0993 FAX"/>
    <s v="sara@staterepsara.com"/>
    <s v=""/>
    <s v=""/>
    <s v=""/>
    <s v=""/>
    <s v=""/>
    <s v=""/>
    <s v=""/>
    <s v=""/>
    <s v=""/>
    <s v=""/>
    <s v=""/>
    <s v=""/>
    <s v=""/>
    <s v=""/>
    <s v=""/>
    <s v=""/>
    <s v="371616Newsletter Recipient, 371627House of Representatives"/>
    <m/>
    <x v="0"/>
  </r>
  <r>
    <n v="37819545"/>
    <b v="0"/>
    <b v="0"/>
    <b v="0"/>
    <b v="1"/>
    <b v="0"/>
    <b v="1"/>
    <b v="1"/>
    <b v="0"/>
    <b v="0"/>
    <n v="0"/>
    <n v="0"/>
    <m/>
    <d v="2017-02-24T00:00:00"/>
    <n v="32127162"/>
    <d v="2017-02-24T00:00:00"/>
    <m/>
    <m/>
    <s v=""/>
    <b v="0"/>
    <m/>
    <m/>
    <d v="2017-02-24T00:00:00"/>
    <m/>
    <n v="791522"/>
    <b v="1"/>
    <m/>
    <m/>
    <m/>
    <x v="0"/>
    <b v="1"/>
    <n v="37819545"/>
    <s v="Cara"/>
    <s v="Fenwick-Rossi"/>
    <s v="Meridian"/>
    <s v=""/>
    <s v=""/>
    <s v="carolyn.fenwick@mhplan.com"/>
    <s v=""/>
    <s v=""/>
    <s v=""/>
    <s v=""/>
    <s v=""/>
    <s v=""/>
    <s v=""/>
    <s v=""/>
    <s v="Director of Operations"/>
    <s v=""/>
    <s v=""/>
    <s v=""/>
    <s v=""/>
    <s v=""/>
    <s v=""/>
    <s v=""/>
    <s v="371616Newsletter Recipient"/>
    <m/>
    <x v="0"/>
  </r>
  <r>
    <n v="37819547"/>
    <b v="0"/>
    <b v="0"/>
    <b v="0"/>
    <b v="1"/>
    <b v="0"/>
    <b v="1"/>
    <b v="1"/>
    <b v="0"/>
    <b v="0"/>
    <n v="0"/>
    <n v="0"/>
    <m/>
    <d v="2017-02-24T00:00:00"/>
    <n v="32127162"/>
    <d v="2017-02-24T00:00:00"/>
    <m/>
    <m/>
    <s v=""/>
    <b v="0"/>
    <m/>
    <m/>
    <d v="2017-02-24T00:00:00"/>
    <m/>
    <n v="791522"/>
    <b v="1"/>
    <m/>
    <m/>
    <m/>
    <x v="0"/>
    <b v="1"/>
    <n v="37819547"/>
    <s v="Luke"/>
    <s v="Ferguson"/>
    <s v="IlliniCare Health"/>
    <s v=""/>
    <s v=""/>
    <s v="luferguson@illinicare.com"/>
    <s v=""/>
    <s v=""/>
    <s v=""/>
    <s v="luferguson@centene.com"/>
    <s v=""/>
    <s v=""/>
    <s v=""/>
    <s v=""/>
    <s v=""/>
    <s v=""/>
    <s v=""/>
    <s v=""/>
    <s v=""/>
    <s v=""/>
    <s v=""/>
    <s v=""/>
    <s v="371616Newsletter Recipient"/>
    <m/>
    <x v="0"/>
  </r>
  <r>
    <n v="34088582"/>
    <b v="0"/>
    <b v="0"/>
    <b v="0"/>
    <b v="1"/>
    <b v="0"/>
    <b v="1"/>
    <b v="1"/>
    <b v="0"/>
    <b v="0"/>
    <n v="0"/>
    <n v="0"/>
    <m/>
    <d v="2018-01-12T00:00:00"/>
    <n v="32127162"/>
    <d v="2016-08-29T00:00:00"/>
    <m/>
    <m/>
    <s v=""/>
    <b v="0"/>
    <m/>
    <m/>
    <d v="2016-08-29T00:00:00"/>
    <m/>
    <n v="791522"/>
    <b v="1"/>
    <m/>
    <m/>
    <m/>
    <x v="0"/>
    <b v="1"/>
    <n v="34088582"/>
    <s v="Karen"/>
    <s v="Ferrara"/>
    <s v="Family Health Network/Community Care Alliance of Illinois"/>
    <s v=""/>
    <s v="Manager, Network Management"/>
    <s v="KFerrara@myfhn.com"/>
    <s v="312-880-1690"/>
    <s v=""/>
    <s v=""/>
    <s v=""/>
    <s v=""/>
    <s v=""/>
    <s v=""/>
    <s v=""/>
    <s v=""/>
    <s v=""/>
    <s v=""/>
    <s v=""/>
    <s v=""/>
    <s v=""/>
    <s v=""/>
    <s v=""/>
    <m/>
    <m/>
    <x v="0"/>
  </r>
  <r>
    <n v="34710355"/>
    <b v="0"/>
    <b v="0"/>
    <b v="0"/>
    <b v="1"/>
    <b v="0"/>
    <b v="1"/>
    <b v="1"/>
    <b v="0"/>
    <b v="0"/>
    <n v="0"/>
    <n v="0"/>
    <m/>
    <d v="2018-01-29T00:00:00"/>
    <n v="32127162"/>
    <d v="2016-09-22T00:00:00"/>
    <m/>
    <m/>
    <s v=""/>
    <b v="0"/>
    <m/>
    <m/>
    <d v="2016-09-21T00:00:00"/>
    <m/>
    <n v="791522"/>
    <b v="1"/>
    <m/>
    <m/>
    <m/>
    <x v="0"/>
    <b v="1"/>
    <n v="34710355"/>
    <s v="Amanda"/>
    <s v="Fields"/>
    <s v="Molina Healthcare of Illinois, Inc."/>
    <s v="Provider Services"/>
    <s v="Manager, Provider Services"/>
    <s v="amanda.fields@molinahealthcare.com"/>
    <s v="888-562-5442 ext 162171"/>
    <s v=""/>
    <s v=""/>
    <s v=""/>
    <s v=""/>
    <s v=""/>
    <s v=""/>
    <s v=""/>
    <s v=""/>
    <s v=""/>
    <s v=""/>
    <s v=""/>
    <s v=""/>
    <s v=""/>
    <s v=""/>
    <s v=""/>
    <s v="371616Newsletter Recipient"/>
    <m/>
    <x v="0"/>
  </r>
  <r>
    <n v="46436628"/>
    <b v="0"/>
    <b v="0"/>
    <b v="0"/>
    <b v="1"/>
    <b v="0"/>
    <b v="1"/>
    <b v="1"/>
    <b v="0"/>
    <b v="0"/>
    <n v="0"/>
    <n v="0"/>
    <m/>
    <d v="2018-06-21T00:00:00"/>
    <n v="32127162"/>
    <d v="2018-06-21T00:00:00"/>
    <m/>
    <m/>
    <s v=""/>
    <b v="0"/>
    <m/>
    <m/>
    <d v="2018-06-21T00:00:00"/>
    <m/>
    <n v="791522"/>
    <b v="1"/>
    <m/>
    <d v="2018-06-21T00:00:00"/>
    <m/>
    <x v="0"/>
    <b v="1"/>
    <n v="46436628"/>
    <s v="Ron"/>
    <s v="Fielmann"/>
    <s v="Total Home Health"/>
    <s v=""/>
    <s v=""/>
    <s v="rfielmann@totalhomehealth.com"/>
    <s v=""/>
    <s v=""/>
    <s v=""/>
    <s v=""/>
    <s v=""/>
    <s v=""/>
    <s v=""/>
    <s v="Total Home Health"/>
    <s v=""/>
    <s v=""/>
    <s v=""/>
    <s v=""/>
    <s v=""/>
    <s v=""/>
    <s v=""/>
    <s v=""/>
    <s v="371616Newsletter Recipient"/>
    <m/>
    <x v="0"/>
  </r>
  <r>
    <n v="37778778"/>
    <b v="0"/>
    <b v="0"/>
    <b v="0"/>
    <b v="1"/>
    <b v="0"/>
    <b v="1"/>
    <b v="1"/>
    <b v="0"/>
    <b v="0"/>
    <n v="0"/>
    <n v="0"/>
    <m/>
    <d v="2017-02-24T00:00:00"/>
    <n v="32127162"/>
    <d v="2017-02-20T00:00:00"/>
    <m/>
    <m/>
    <s v=""/>
    <b v="0"/>
    <m/>
    <m/>
    <d v="2017-02-20T00:00:00"/>
    <m/>
    <n v="791522"/>
    <b v="1"/>
    <m/>
    <m/>
    <m/>
    <x v="0"/>
    <b v="1"/>
    <n v="37778778"/>
    <s v="Laura"/>
    <s v="Fine"/>
    <s v="Illinois General Assembly"/>
    <s v=""/>
    <s v="Representative Laura Fine (D)_x000a_17th District_x0009_ _x0009__x000a__x000a_Springfield Office:_x000a_255-S Stratton Office Building_x000a_Springfield, IL   62706_x000a_(217) 782-4194_x000a_(217) 524-0449 FAX_x000a__x000a_District Office:_x000a_1812 Waukegan Road_x000a_Suite A_x000a_Glenview, IL  60025_x000a_(847) 998-1717_x000a_(847) 998-1707 FAX"/>
    <s v="repfine@gmail.com"/>
    <s v=""/>
    <s v=""/>
    <s v=""/>
    <s v=""/>
    <s v=""/>
    <s v=""/>
    <s v=""/>
    <s v=""/>
    <s v=""/>
    <s v=""/>
    <s v=""/>
    <s v=""/>
    <s v=""/>
    <s v=""/>
    <s v=""/>
    <s v=""/>
    <s v="371616Newsletter Recipient, 371627House of Representatives"/>
    <m/>
    <x v="0"/>
  </r>
  <r>
    <n v="42842392"/>
    <b v="0"/>
    <b v="0"/>
    <b v="0"/>
    <b v="1"/>
    <b v="0"/>
    <b v="1"/>
    <b v="1"/>
    <b v="0"/>
    <b v="0"/>
    <n v="0"/>
    <n v="0"/>
    <m/>
    <d v="2017-12-06T00:00:00"/>
    <n v="32127162"/>
    <d v="2017-12-06T00:00:00"/>
    <m/>
    <m/>
    <s v=""/>
    <b v="0"/>
    <m/>
    <m/>
    <d v="2017-12-06T00:00:00"/>
    <m/>
    <n v="791522"/>
    <b v="1"/>
    <m/>
    <d v="2017-12-06T00:00:00"/>
    <m/>
    <x v="0"/>
    <b v="1"/>
    <n v="42842392"/>
    <s v="Julie"/>
    <s v="Finlay"/>
    <s v="uic-division of specialized care for children"/>
    <s v=""/>
    <s v=""/>
    <s v="jafinlay@uic.edu"/>
    <s v=""/>
    <s v=""/>
    <s v=""/>
    <s v=""/>
    <s v=""/>
    <s v=""/>
    <s v=""/>
    <s v=""/>
    <s v=""/>
    <s v=""/>
    <s v=""/>
    <s v=""/>
    <s v=""/>
    <s v=""/>
    <s v=""/>
    <s v=""/>
    <s v="371616Newsletter Recipient"/>
    <m/>
    <x v="0"/>
  </r>
  <r>
    <n v="44026887"/>
    <b v="0"/>
    <b v="0"/>
    <b v="0"/>
    <b v="1"/>
    <b v="0"/>
    <b v="1"/>
    <b v="1"/>
    <b v="0"/>
    <b v="0"/>
    <n v="0"/>
    <n v="0"/>
    <m/>
    <d v="2018-03-26T00:00:00"/>
    <n v="32127162"/>
    <d v="2018-03-02T00:00:00"/>
    <m/>
    <m/>
    <s v=""/>
    <b v="0"/>
    <m/>
    <m/>
    <d v="2018-03-02T00:00:00"/>
    <m/>
    <n v="791522"/>
    <b v="1"/>
    <m/>
    <d v="2018-03-02T00:00:00"/>
    <m/>
    <x v="0"/>
    <b v="1"/>
    <n v="44026887"/>
    <s v=""/>
    <s v="First Transit"/>
    <s v="CountyCare Health Plan"/>
    <s v=""/>
    <s v=""/>
    <s v=""/>
    <s v="(630) 403-3210"/>
    <s v=""/>
    <s v=""/>
    <s v=""/>
    <s v=""/>
    <s v=""/>
    <s v=""/>
    <s v=""/>
    <s v=""/>
    <s v=""/>
    <s v=""/>
    <s v=""/>
    <s v=""/>
    <s v=""/>
    <s v=""/>
    <s v=""/>
    <s v="420967Transportation - Contracts, 420968Transportation - Claims &amp; Billing, 420969Transportation - Care Coordination"/>
    <s v="10633525Contracts, 10633526Claims/Billing, 10633527Care Coordination"/>
    <x v="0"/>
  </r>
  <r>
    <n v="34033559"/>
    <b v="0"/>
    <b v="0"/>
    <b v="0"/>
    <b v="1"/>
    <b v="0"/>
    <b v="1"/>
    <b v="1"/>
    <b v="0"/>
    <b v="0"/>
    <n v="0"/>
    <n v="0"/>
    <m/>
    <d v="2017-12-06T00:00:00"/>
    <n v="32127162"/>
    <d v="2016-08-23T00:00:00"/>
    <m/>
    <m/>
    <s v=""/>
    <b v="0"/>
    <m/>
    <m/>
    <d v="2016-08-23T00:00:00"/>
    <m/>
    <n v="791522"/>
    <b v="1"/>
    <m/>
    <m/>
    <m/>
    <x v="0"/>
    <b v="1"/>
    <n v="34033559"/>
    <s v="Dr. Neal"/>
    <s v="Fischer"/>
    <s v="Humana"/>
    <s v=""/>
    <s v=""/>
    <s v="NFischer1@humana.com"/>
    <s v=""/>
    <s v=""/>
    <s v=""/>
    <s v=""/>
    <s v=""/>
    <s v=""/>
    <s v=""/>
    <s v=""/>
    <s v=""/>
    <s v=""/>
    <s v=""/>
    <s v=""/>
    <s v=""/>
    <s v=""/>
    <s v=""/>
    <s v=""/>
    <s v="335744Chief Medical Officer, 371616Newsletter Recipient, 372292Medical Directors"/>
    <m/>
    <x v="0"/>
  </r>
  <r>
    <n v="42782945"/>
    <b v="0"/>
    <b v="0"/>
    <b v="0"/>
    <b v="1"/>
    <b v="0"/>
    <b v="1"/>
    <b v="1"/>
    <b v="0"/>
    <b v="0"/>
    <n v="0"/>
    <n v="0"/>
    <m/>
    <d v="2017-11-29T00:00:00"/>
    <n v="32127162"/>
    <d v="2017-11-29T00:00:00"/>
    <m/>
    <m/>
    <s v=""/>
    <b v="0"/>
    <m/>
    <m/>
    <d v="2017-11-29T00:00:00"/>
    <m/>
    <n v="791522"/>
    <b v="1"/>
    <m/>
    <d v="2017-11-29T00:00:00"/>
    <m/>
    <x v="0"/>
    <b v="1"/>
    <n v="42782945"/>
    <s v="Rhonda"/>
    <s v="Fisher"/>
    <s v="Pediatric Group, LLC"/>
    <s v=""/>
    <s v=""/>
    <s v="rhonda@pediatricgroupllc.com"/>
    <s v=""/>
    <s v=""/>
    <s v=""/>
    <s v=""/>
    <s v=""/>
    <s v=""/>
    <s v=""/>
    <s v="Pediatric Group, LLC"/>
    <s v=""/>
    <s v=""/>
    <s v=""/>
    <s v=""/>
    <s v=""/>
    <s v=""/>
    <s v=""/>
    <s v=""/>
    <s v="371616Newsletter Recipient"/>
    <m/>
    <x v="0"/>
  </r>
  <r>
    <n v="37822581"/>
    <b v="0"/>
    <b v="0"/>
    <b v="0"/>
    <b v="1"/>
    <b v="0"/>
    <b v="1"/>
    <b v="1"/>
    <b v="0"/>
    <b v="0"/>
    <n v="0"/>
    <n v="0"/>
    <m/>
    <d v="2017-02-24T00:00:00"/>
    <n v="32127162"/>
    <d v="2017-02-24T00:00:00"/>
    <m/>
    <m/>
    <s v=""/>
    <b v="0"/>
    <m/>
    <m/>
    <d v="2017-02-24T00:00:00"/>
    <m/>
    <n v="791522"/>
    <b v="1"/>
    <m/>
    <m/>
    <m/>
    <x v="0"/>
    <b v="1"/>
    <n v="37822581"/>
    <s v="Thomas"/>
    <s v="Fisher"/>
    <s v="NextLevel Health"/>
    <s v="Dr."/>
    <s v=""/>
    <s v="Thomas.fisher@nlhpartners.com"/>
    <s v=""/>
    <s v=""/>
    <s v=""/>
    <s v=""/>
    <s v=""/>
    <s v=""/>
    <s v=""/>
    <s v=""/>
    <s v=""/>
    <s v=""/>
    <s v=""/>
    <s v=""/>
    <s v=""/>
    <s v=""/>
    <s v=""/>
    <s v=""/>
    <s v="371616Newsletter Recipient"/>
    <m/>
    <x v="0"/>
  </r>
  <r>
    <n v="41140765"/>
    <b v="0"/>
    <b v="0"/>
    <b v="1"/>
    <b v="1"/>
    <b v="0"/>
    <b v="1"/>
    <b v="1"/>
    <b v="0"/>
    <b v="0"/>
    <n v="0"/>
    <n v="0"/>
    <m/>
    <d v="2017-08-22T00:00:00"/>
    <n v="32127162"/>
    <d v="2017-08-22T00:00:00"/>
    <d v="2017-08-22T00:00:00"/>
    <m/>
    <s v=""/>
    <b v="0"/>
    <m/>
    <m/>
    <d v="2017-08-22T00:00:00"/>
    <m/>
    <n v="791522"/>
    <b v="1"/>
    <m/>
    <m/>
    <m/>
    <x v="0"/>
    <b v="1"/>
    <n v="41140765"/>
    <s v="Thomas"/>
    <s v="Flanagan"/>
    <s v="Genesis"/>
    <s v="Vice President"/>
    <s v="Accord Detective Agency"/>
    <s v="tjf@accorddainc.com"/>
    <s v="773-458-3801"/>
    <s v=""/>
    <s v=""/>
    <s v=""/>
    <s v=""/>
    <s v=""/>
    <s v=""/>
    <s v=""/>
    <s v=""/>
    <s v=""/>
    <s v=""/>
    <s v=""/>
    <s v=""/>
    <s v=""/>
    <s v=""/>
    <s v=""/>
    <s v="371616Newsletter Recipient"/>
    <m/>
    <x v="0"/>
  </r>
  <r>
    <n v="42678239"/>
    <b v="0"/>
    <b v="0"/>
    <b v="0"/>
    <b v="1"/>
    <b v="0"/>
    <b v="1"/>
    <b v="1"/>
    <b v="0"/>
    <b v="0"/>
    <n v="0"/>
    <n v="0"/>
    <m/>
    <d v="2018-02-12T00:00:00"/>
    <n v="32127162"/>
    <d v="2017-11-17T00:00:00"/>
    <m/>
    <m/>
    <s v=""/>
    <b v="0"/>
    <m/>
    <m/>
    <d v="2017-11-17T00:00:00"/>
    <m/>
    <n v="791522"/>
    <b v="1"/>
    <m/>
    <d v="2017-11-17T00:00:00"/>
    <m/>
    <x v="0"/>
    <b v="1"/>
    <n v="42678239"/>
    <s v="Renaa"/>
    <s v="Fleck"/>
    <s v="Harrisburg Medical Center"/>
    <s v=""/>
    <s v=""/>
    <s v="rfleck@harrisburgmc.com"/>
    <s v=""/>
    <s v=""/>
    <s v=""/>
    <s v=""/>
    <s v=""/>
    <s v=""/>
    <s v=""/>
    <s v="Harrisburg Medical Center"/>
    <s v=""/>
    <s v=""/>
    <s v=""/>
    <s v=""/>
    <s v=""/>
    <s v=""/>
    <s v=""/>
    <s v=""/>
    <s v="371616Newsletter Recipient"/>
    <m/>
    <x v="0"/>
  </r>
  <r>
    <n v="37819549"/>
    <b v="0"/>
    <b v="0"/>
    <b v="0"/>
    <b v="1"/>
    <b v="0"/>
    <b v="1"/>
    <b v="1"/>
    <b v="0"/>
    <b v="0"/>
    <n v="0"/>
    <n v="0"/>
    <m/>
    <d v="2017-02-24T00:00:00"/>
    <n v="32127162"/>
    <d v="2017-02-24T00:00:00"/>
    <m/>
    <m/>
    <s v=""/>
    <b v="0"/>
    <m/>
    <m/>
    <d v="2017-02-24T00:00:00"/>
    <m/>
    <n v="791522"/>
    <b v="1"/>
    <m/>
    <m/>
    <m/>
    <x v="0"/>
    <b v="1"/>
    <n v="37819549"/>
    <s v="Patti"/>
    <s v="Flesher"/>
    <s v="Harmony Health Plan of Illinois - A WellCare Company"/>
    <s v=""/>
    <s v=""/>
    <s v="patricia.flesher@wellcare.com"/>
    <s v=""/>
    <s v=""/>
    <s v=""/>
    <s v=""/>
    <s v=""/>
    <s v=""/>
    <s v=""/>
    <s v=""/>
    <s v=""/>
    <s v=""/>
    <s v=""/>
    <s v=""/>
    <s v=""/>
    <s v=""/>
    <s v=""/>
    <s v=""/>
    <s v="371616Newsletter Recipient, 372306Marketing Committee"/>
    <m/>
    <x v="0"/>
  </r>
  <r>
    <n v="34033488"/>
    <b v="0"/>
    <b v="0"/>
    <b v="0"/>
    <b v="1"/>
    <b v="0"/>
    <b v="1"/>
    <b v="1"/>
    <b v="0"/>
    <b v="0"/>
    <n v="0"/>
    <n v="0"/>
    <m/>
    <d v="2018-01-22T00:00:00"/>
    <n v="32127162"/>
    <d v="2016-08-23T00:00:00"/>
    <m/>
    <m/>
    <s v=""/>
    <b v="0"/>
    <m/>
    <m/>
    <d v="2016-08-23T00:00:00"/>
    <m/>
    <n v="791522"/>
    <b v="1"/>
    <m/>
    <m/>
    <m/>
    <x v="0"/>
    <b v="1"/>
    <n v="34033488"/>
    <s v="Sean"/>
    <s v="Fletcher"/>
    <s v="Harmony Health Plan of Illinois - A WellCare Company"/>
    <s v=""/>
    <s v=""/>
    <s v="Sean.Fletcher@wellcare.com"/>
    <s v="813-206-6578"/>
    <s v=""/>
    <s v=""/>
    <s v=""/>
    <s v=""/>
    <s v=""/>
    <s v=""/>
    <s v=""/>
    <s v=""/>
    <s v=""/>
    <s v=""/>
    <s v=""/>
    <s v=""/>
    <s v=""/>
    <s v=""/>
    <s v=""/>
    <s v="371616Newsletter Recipient"/>
    <m/>
    <x v="0"/>
  </r>
  <r>
    <n v="37778781"/>
    <b v="0"/>
    <b v="0"/>
    <b v="0"/>
    <b v="1"/>
    <b v="0"/>
    <b v="1"/>
    <b v="1"/>
    <b v="0"/>
    <b v="0"/>
    <n v="0"/>
    <n v="0"/>
    <m/>
    <d v="2017-02-24T00:00:00"/>
    <n v="32127162"/>
    <d v="2017-02-20T00:00:00"/>
    <m/>
    <m/>
    <s v=""/>
    <b v="0"/>
    <m/>
    <m/>
    <d v="2017-02-20T00:00:00"/>
    <m/>
    <n v="791522"/>
    <b v="1"/>
    <m/>
    <m/>
    <m/>
    <x v="0"/>
    <b v="1"/>
    <n v="37778781"/>
    <s v="Mary"/>
    <s v="Flowers"/>
    <s v="Illinois General Assembly"/>
    <s v=""/>
    <s v="Representative Mary E. Flowers (D)_x000a_31st District_x000a_Assistant Majority Leader _x0009__x000a__x000a_Springfield Office:_x000a_251-E Stratton Office Building_x000a_Springfield, IL   62706_x000a_(217) 782-4207_x000a_(217) 782-1130 FAX_x000a__x000a_District Office:_x000a_2525 W. 79th Street_x000a_Chicago, IL  60652_x000a_(773) 471-5200_x000a_(773) 471-1036 FAX"/>
    <s v="maryeflowers@ilga.gov"/>
    <s v=""/>
    <s v=""/>
    <s v=""/>
    <s v=""/>
    <s v=""/>
    <s v=""/>
    <s v=""/>
    <s v=""/>
    <s v=""/>
    <s v=""/>
    <s v=""/>
    <s v=""/>
    <s v=""/>
    <s v=""/>
    <s v=""/>
    <s v=""/>
    <s v="371616Newsletter Recipient, 371627House of Representatives"/>
    <m/>
    <x v="0"/>
  </r>
  <r>
    <n v="37778716"/>
    <b v="0"/>
    <b v="0"/>
    <b v="0"/>
    <b v="1"/>
    <b v="0"/>
    <b v="1"/>
    <b v="1"/>
    <b v="0"/>
    <b v="0"/>
    <n v="0"/>
    <n v="0"/>
    <m/>
    <d v="2017-02-20T00:00:00"/>
    <n v="32127162"/>
    <d v="2017-02-20T00:00:00"/>
    <m/>
    <m/>
    <s v=""/>
    <b v="0"/>
    <m/>
    <m/>
    <d v="2017-02-20T00:00:00"/>
    <m/>
    <n v="791522"/>
    <b v="1"/>
    <m/>
    <m/>
    <m/>
    <x v="0"/>
    <b v="1"/>
    <n v="37778716"/>
    <s v="Barbara"/>
    <s v="Flynn Currie"/>
    <s v="Illinois General Assembly"/>
    <s v=""/>
    <s v="Representative Barbara Flynn Currie (D)_x000a_25th District_x000a_Majority Leader_x000a__x000a_Photograph of  Representative  Barbara Flynn Currie (D)_x0009_ _x0009__x000a__x000a_Springfield Office:_x000a_300 Capitol Building_x000a_Springfield, IL   62706_x000a_(217) 782-8121_x000a_(217) 524-1524 FAX_x000a__x000a_District Office:_x000a_1303 E. 53rd Street_x000a_Chicago, IL  60615_x000a_(773) 667-0550_x000a_(773) 667-3010 FAX"/>
    <s v=""/>
    <s v=""/>
    <s v=""/>
    <s v=""/>
    <s v=""/>
    <s v=""/>
    <s v=""/>
    <s v=""/>
    <s v=""/>
    <s v=""/>
    <s v=""/>
    <s v=""/>
    <s v=""/>
    <s v=""/>
    <s v=""/>
    <s v=""/>
    <s v=""/>
    <s v="371616Newsletter Recipient, 371627House of Representatives"/>
    <m/>
    <x v="0"/>
  </r>
  <r>
    <n v="44790610"/>
    <b v="0"/>
    <b v="0"/>
    <b v="0"/>
    <b v="1"/>
    <b v="0"/>
    <b v="1"/>
    <b v="1"/>
    <b v="0"/>
    <b v="0"/>
    <n v="0"/>
    <n v="0"/>
    <m/>
    <d v="2018-04-24T00:00:00"/>
    <n v="32127162"/>
    <d v="2018-04-24T00:00:00"/>
    <m/>
    <m/>
    <s v=""/>
    <b v="0"/>
    <m/>
    <m/>
    <d v="2018-04-24T00:00:00"/>
    <m/>
    <n v="791522"/>
    <b v="1"/>
    <m/>
    <d v="2018-04-24T00:00:00"/>
    <m/>
    <x v="0"/>
    <b v="1"/>
    <n v="44790610"/>
    <s v="Latoya"/>
    <s v="Fontenot"/>
    <s v="Harmony Health Plan of Illinois - A WellCare Company"/>
    <s v=""/>
    <s v=""/>
    <s v="latoya.fontenot@wellcare.com"/>
    <s v=""/>
    <s v=""/>
    <s v=""/>
    <s v=""/>
    <s v=""/>
    <s v=""/>
    <s v=""/>
    <s v="Harmony Health Plan of Illinois - A WellCare Company"/>
    <s v=""/>
    <s v=""/>
    <s v=""/>
    <s v=""/>
    <s v=""/>
    <s v=""/>
    <s v=""/>
    <s v=""/>
    <m/>
    <m/>
    <x v="0"/>
  </r>
  <r>
    <n v="37822765"/>
    <b v="0"/>
    <b v="0"/>
    <b v="0"/>
    <b v="1"/>
    <b v="0"/>
    <b v="1"/>
    <b v="1"/>
    <b v="0"/>
    <b v="0"/>
    <n v="0"/>
    <n v="0"/>
    <m/>
    <d v="2017-02-24T00:00:00"/>
    <n v="32127162"/>
    <d v="2017-02-24T00:00:00"/>
    <m/>
    <m/>
    <s v=""/>
    <b v="0"/>
    <m/>
    <m/>
    <d v="2017-02-24T00:00:00"/>
    <m/>
    <n v="791522"/>
    <b v="1"/>
    <m/>
    <m/>
    <m/>
    <x v="0"/>
    <b v="1"/>
    <n v="37822765"/>
    <s v="Ann"/>
    <s v="Ford"/>
    <s v="Illinois Network of Centers for Independent Living"/>
    <s v=""/>
    <s v=""/>
    <s v="annford@incil.org"/>
    <s v="217/525-1308"/>
    <s v=""/>
    <s v=""/>
    <s v=""/>
    <s v=""/>
    <s v=""/>
    <s v=""/>
    <s v=""/>
    <s v=""/>
    <s v=""/>
    <s v=""/>
    <s v=""/>
    <s v=""/>
    <s v=""/>
    <s v=""/>
    <s v=""/>
    <s v="371616Newsletter Recipient"/>
    <m/>
    <x v="0"/>
  </r>
  <r>
    <n v="37778784"/>
    <b v="0"/>
    <b v="0"/>
    <b v="0"/>
    <b v="1"/>
    <b v="0"/>
    <b v="1"/>
    <b v="1"/>
    <b v="0"/>
    <b v="0"/>
    <n v="0"/>
    <n v="0"/>
    <m/>
    <d v="2017-02-24T00:00:00"/>
    <n v="32127162"/>
    <d v="2017-02-20T00:00:00"/>
    <m/>
    <m/>
    <s v=""/>
    <b v="0"/>
    <m/>
    <m/>
    <d v="2017-02-20T00:00:00"/>
    <m/>
    <n v="791522"/>
    <b v="1"/>
    <m/>
    <m/>
    <m/>
    <x v="0"/>
    <b v="1"/>
    <n v="37778784"/>
    <s v="La Shawn"/>
    <s v="Ford"/>
    <s v="Illinois General Assembly"/>
    <s v=""/>
    <s v="Representative La Shawn K. Ford (D)_x000a_8th District_x0009_ _x0009__x000a__x000a_Springfield Office:_x000a_239-E Stratton Office Building_x000a_Springfield, IL   62706_x000a_(217) 782-5962_x000a_(217) 557-4502 FAX_x000a__x000a_District Office:_x000a_4800 W. Chicago Ave._x000a_2nd Floor_x000a_Chicago, IL  60651_x000a_(773) 378-5902_x000a_(773) 378-5903 FAX_x000a__x000a_816 S. Oak Park_x000a_Suite A_x000a_Oak Park, IL 60304_x000a_(708) 445-3673"/>
    <s v="repford@lashawnford.com"/>
    <s v=""/>
    <s v=""/>
    <s v=""/>
    <s v=""/>
    <s v=""/>
    <s v=""/>
    <s v=""/>
    <s v=""/>
    <s v=""/>
    <s v=""/>
    <s v=""/>
    <s v=""/>
    <s v=""/>
    <s v=""/>
    <s v=""/>
    <s v=""/>
    <s v="371616Newsletter Recipient, 371627House of Representatives"/>
    <m/>
    <x v="0"/>
  </r>
  <r>
    <n v="44047239"/>
    <b v="0"/>
    <b v="0"/>
    <b v="0"/>
    <b v="1"/>
    <b v="0"/>
    <b v="1"/>
    <b v="1"/>
    <b v="0"/>
    <b v="0"/>
    <n v="0"/>
    <n v="0"/>
    <m/>
    <d v="2018-03-02T00:00:00"/>
    <n v="32127162"/>
    <d v="2018-03-02T00:00:00"/>
    <m/>
    <m/>
    <s v=""/>
    <b v="0"/>
    <m/>
    <m/>
    <d v="2018-03-02T00:00:00"/>
    <m/>
    <n v="791522"/>
    <b v="1"/>
    <m/>
    <d v="2018-03-02T00:00:00"/>
    <m/>
    <x v="0"/>
    <b v="1"/>
    <n v="44047239"/>
    <s v="Patrick"/>
    <s v="Forer"/>
    <s v="Senior Adult Services of Jackson County"/>
    <s v=""/>
    <s v=""/>
    <s v="adscoordinator@yahoo.com"/>
    <s v=""/>
    <s v=""/>
    <s v=""/>
    <s v=""/>
    <s v=""/>
    <s v=""/>
    <s v=""/>
    <s v=""/>
    <s v=""/>
    <s v=""/>
    <s v=""/>
    <s v=""/>
    <s v=""/>
    <s v=""/>
    <s v=""/>
    <s v=""/>
    <s v="371616Newsletter Recipient"/>
    <m/>
    <x v="0"/>
  </r>
  <r>
    <n v="37778787"/>
    <b v="0"/>
    <b v="0"/>
    <b v="0"/>
    <b v="1"/>
    <b v="0"/>
    <b v="1"/>
    <b v="1"/>
    <b v="0"/>
    <b v="0"/>
    <n v="0"/>
    <n v="0"/>
    <m/>
    <d v="2017-02-24T00:00:00"/>
    <n v="32127162"/>
    <d v="2017-02-20T00:00:00"/>
    <m/>
    <m/>
    <s v=""/>
    <b v="0"/>
    <m/>
    <m/>
    <d v="2017-02-20T00:00:00"/>
    <m/>
    <n v="791522"/>
    <b v="1"/>
    <m/>
    <m/>
    <m/>
    <x v="0"/>
    <b v="1"/>
    <n v="37778787"/>
    <s v="Mike"/>
    <s v="Fortner"/>
    <s v="Illinois General Assembly"/>
    <s v=""/>
    <s v="Representative Mike Fortner (R)_x000a_49th District_x000a__x000a_Springfield Office:_x000a_200-4N Stratton Office Building_x000a_Springfield, IL   62706_x000a_(217) 782-1653_x000a_(217) 782-1275 FAX_x000a__x000a_District Office:_x000a_135 Fremont St._x000a_West Chicago, IL  60185_x000a_(630) 293-9344_x000a_(630) 293-9785 FAX"/>
    <s v="mike.fortner@sbcglobal.net"/>
    <s v=""/>
    <s v=""/>
    <s v=""/>
    <s v=""/>
    <s v=""/>
    <s v=""/>
    <s v=""/>
    <s v=""/>
    <s v=""/>
    <s v=""/>
    <s v=""/>
    <s v=""/>
    <s v=""/>
    <s v=""/>
    <s v=""/>
    <s v=""/>
    <s v="371616Newsletter Recipient, 371627House of Representatives"/>
    <m/>
    <x v="0"/>
  </r>
  <r>
    <n v="37770467"/>
    <b v="0"/>
    <b v="0"/>
    <b v="0"/>
    <b v="1"/>
    <b v="0"/>
    <b v="1"/>
    <b v="1"/>
    <b v="0"/>
    <b v="0"/>
    <n v="0"/>
    <n v="0"/>
    <m/>
    <d v="2017-02-24T00:00:00"/>
    <n v="32127162"/>
    <d v="2017-02-20T00:00:00"/>
    <m/>
    <m/>
    <s v=""/>
    <b v="0"/>
    <m/>
    <m/>
    <d v="2017-02-20T00:00:00"/>
    <m/>
    <n v="791522"/>
    <b v="1"/>
    <m/>
    <m/>
    <m/>
    <x v="0"/>
    <b v="1"/>
    <n v="37770467"/>
    <s v="Dale"/>
    <s v="Fowler"/>
    <s v="Illinois General Assembly"/>
    <s v=""/>
    <s v="Senator Dale Fowler (R)_x000a_59th District_x000a__x000a_Springfield Office:_x000a_Senator 59th District_x000a_M103F Capitol Building_x000a_Springfield, IL   62706_x000a_(217) 782-5509_x000a_ _x000a_District Office:_x000a_2 North Vine_x000a_6th Floor_x000a_Harrisburg, IL  62946_x000a_(618) 294-8951_x000a_(618) 294-8950 FAX"/>
    <s v=""/>
    <s v=""/>
    <s v=""/>
    <s v=""/>
    <s v=""/>
    <s v=""/>
    <s v="(217) 782-5509"/>
    <s v=""/>
    <s v=""/>
    <s v=""/>
    <s v=""/>
    <s v=""/>
    <s v=""/>
    <s v=""/>
    <s v=""/>
    <s v=""/>
    <s v=""/>
    <s v="371609Senator, 371616Newsletter Recipient"/>
    <m/>
    <x v="0"/>
  </r>
  <r>
    <n v="34710286"/>
    <b v="0"/>
    <b v="0"/>
    <b v="0"/>
    <b v="1"/>
    <b v="0"/>
    <b v="1"/>
    <b v="1"/>
    <b v="0"/>
    <b v="0"/>
    <n v="0"/>
    <n v="0"/>
    <m/>
    <d v="2018-05-09T00:00:00"/>
    <n v="32127162"/>
    <d v="2016-09-22T00:00:00"/>
    <m/>
    <m/>
    <s v=""/>
    <b v="0"/>
    <m/>
    <m/>
    <d v="2016-09-21T00:00:00"/>
    <m/>
    <n v="791522"/>
    <b v="1"/>
    <m/>
    <m/>
    <m/>
    <x v="0"/>
    <b v="1"/>
    <n v="34710286"/>
    <s v="Christine"/>
    <s v="Fox"/>
    <s v="IlliniCare Health"/>
    <s v=""/>
    <s v=""/>
    <s v="Christine.L.Fox@illinicare.com"/>
    <s v="866.329.4701 ext 47558"/>
    <s v=""/>
    <s v=""/>
    <s v=""/>
    <s v="708.625.7612"/>
    <s v=""/>
    <s v=""/>
    <s v=""/>
    <s v=""/>
    <s v=""/>
    <s v=""/>
    <s v=""/>
    <s v=""/>
    <s v=""/>
    <s v=""/>
    <s v=""/>
    <s v="371616Newsletter Recipient, 372295Board of Directors/General Distribution List, 420915HFS OIG - Transportation Brokers, 420950Physicians - Contracts, 420951Physicians - Claims &amp; Billing, 420952Physicians - Care Coordination"/>
    <s v="10633525Contracts, 10633526Claims/Billing, 10633527Care Coordination"/>
    <x v="0"/>
  </r>
  <r>
    <n v="43415611"/>
    <b v="0"/>
    <b v="0"/>
    <b v="0"/>
    <b v="1"/>
    <b v="0"/>
    <b v="1"/>
    <b v="1"/>
    <b v="0"/>
    <b v="0"/>
    <n v="0"/>
    <n v="0"/>
    <m/>
    <d v="2018-06-21T00:00:00"/>
    <n v="32127162"/>
    <d v="2018-01-22T00:00:00"/>
    <m/>
    <m/>
    <s v=""/>
    <b v="0"/>
    <m/>
    <m/>
    <d v="2018-01-22T00:00:00"/>
    <m/>
    <n v="791522"/>
    <b v="1"/>
    <m/>
    <d v="2018-01-22T00:00:00"/>
    <m/>
    <x v="0"/>
    <b v="1"/>
    <n v="43415611"/>
    <s v="Lisa"/>
    <s v="Fox"/>
    <s v="Blue Cross Blue Shield of Illinois"/>
    <s v=""/>
    <s v=""/>
    <s v="foxl@bcbsil.com"/>
    <s v=""/>
    <s v=""/>
    <s v=""/>
    <s v=""/>
    <s v=""/>
    <s v=""/>
    <s v=""/>
    <s v="Blue Cross Blue Shield of Illinois"/>
    <s v=""/>
    <s v=""/>
    <s v=""/>
    <s v=""/>
    <s v=""/>
    <s v=""/>
    <s v=""/>
    <s v=""/>
    <s v="371616Newsletter Recipient, 372312IHA-IAMHP Working Group"/>
    <m/>
    <x v="0"/>
  </r>
  <r>
    <n v="46020417"/>
    <b v="0"/>
    <b v="0"/>
    <b v="0"/>
    <b v="1"/>
    <b v="0"/>
    <b v="1"/>
    <b v="1"/>
    <b v="0"/>
    <b v="0"/>
    <n v="0"/>
    <n v="0"/>
    <m/>
    <m/>
    <m/>
    <d v="2018-06-06T00:00:00"/>
    <m/>
    <m/>
    <s v=""/>
    <b v="0"/>
    <m/>
    <m/>
    <d v="2018-06-06T00:00:00"/>
    <m/>
    <n v="791522"/>
    <b v="1"/>
    <m/>
    <d v="2018-06-06T00:00:00"/>
    <m/>
    <x v="0"/>
    <b v="1"/>
    <n v="46020417"/>
    <s v="Lilyanna"/>
    <s v="Fragoso"/>
    <s v="Blue Cross Blue Shield of Illinois"/>
    <s v=""/>
    <s v=""/>
    <s v="lilyanna_fragoso@bcbsil.com"/>
    <s v=""/>
    <s v=""/>
    <s v=""/>
    <s v=""/>
    <s v=""/>
    <s v=""/>
    <s v=""/>
    <s v="Blue Cross Blue Shield of Illinois"/>
    <s v=""/>
    <s v=""/>
    <s v=""/>
    <s v=""/>
    <s v=""/>
    <s v=""/>
    <s v=""/>
    <s v=""/>
    <s v="371616Newsletter Recipient, 372306Marketing Committee"/>
    <m/>
    <x v="0"/>
  </r>
  <r>
    <n v="34033489"/>
    <b v="0"/>
    <b v="0"/>
    <b v="0"/>
    <b v="1"/>
    <b v="0"/>
    <b v="1"/>
    <b v="1"/>
    <b v="0"/>
    <b v="0"/>
    <n v="0"/>
    <n v="0"/>
    <m/>
    <d v="2018-06-26T00:00:00"/>
    <n v="32127162"/>
    <d v="2016-08-23T00:00:00"/>
    <m/>
    <m/>
    <s v=""/>
    <b v="0"/>
    <m/>
    <m/>
    <d v="2016-08-23T00:00:00"/>
    <m/>
    <n v="791522"/>
    <b v="1"/>
    <m/>
    <m/>
    <m/>
    <x v="0"/>
    <b v="1"/>
    <n v="34033489"/>
    <s v="Paul"/>
    <s v="Frank, Sr."/>
    <s v="Harmony Health Plan of Illinois - A WellCare Company"/>
    <s v=""/>
    <s v=""/>
    <s v="Paul.Frank@wellcare.com"/>
    <s v=""/>
    <s v=""/>
    <s v=""/>
    <s v=""/>
    <s v="312-520-3807"/>
    <s v="312-516-5818"/>
    <s v=""/>
    <s v=""/>
    <s v=""/>
    <s v=""/>
    <s v=""/>
    <s v=""/>
    <s v=""/>
    <s v=""/>
    <s v=""/>
    <s v=""/>
    <s v="335736Provider Relations - Committee Members, 371616Newsletter Recipient, 372293Quality Committee, 372294Finance Committee, 372295Board of Directors/General Distribution List, 372296Legislative Committee, 372297Operations Committee, 372298Operations Transportation Subcommittee, 372306Marketing Committee, 372312IHA-IAMHP Working Group, 3767711115 Workgroup, 420911IAMHP Leadership, 428250Hospital Assessment, 428788Pharmacy Director Committee, 441580Compliance Committee, 443813Discharge Planning, 447857HFS Ops Workgroup"/>
    <m/>
    <x v="0"/>
  </r>
  <r>
    <n v="37819563"/>
    <b v="0"/>
    <b v="0"/>
    <b v="0"/>
    <b v="1"/>
    <b v="0"/>
    <b v="1"/>
    <b v="1"/>
    <b v="0"/>
    <b v="0"/>
    <n v="0"/>
    <n v="0"/>
    <m/>
    <d v="2017-02-24T00:00:00"/>
    <n v="32127162"/>
    <d v="2017-02-24T00:00:00"/>
    <m/>
    <m/>
    <s v=""/>
    <b v="0"/>
    <m/>
    <m/>
    <d v="2017-02-24T00:00:00"/>
    <m/>
    <n v="791522"/>
    <b v="1"/>
    <m/>
    <m/>
    <m/>
    <x v="0"/>
    <b v="1"/>
    <n v="37819563"/>
    <s v="Noah"/>
    <s v="Franklin"/>
    <s v="Presence HealthSystem"/>
    <s v=""/>
    <s v=""/>
    <s v="noah.franklin@presencehealth.org"/>
    <s v=""/>
    <s v=""/>
    <s v=""/>
    <s v=""/>
    <s v=""/>
    <s v=""/>
    <s v=""/>
    <s v=""/>
    <s v="Program Manager, Government Grants"/>
    <s v=""/>
    <s v=""/>
    <s v=""/>
    <s v=""/>
    <s v=""/>
    <s v=""/>
    <s v=""/>
    <s v="371616Newsletter Recipient"/>
    <m/>
    <x v="0"/>
  </r>
  <r>
    <n v="34088645"/>
    <b v="0"/>
    <b v="0"/>
    <b v="0"/>
    <b v="1"/>
    <b v="0"/>
    <b v="1"/>
    <b v="1"/>
    <b v="0"/>
    <b v="0"/>
    <n v="0"/>
    <n v="0"/>
    <m/>
    <d v="2018-01-12T00:00:00"/>
    <n v="32127162"/>
    <d v="2016-08-29T00:00:00"/>
    <m/>
    <m/>
    <s v=""/>
    <b v="0"/>
    <m/>
    <m/>
    <d v="2016-08-29T00:00:00"/>
    <m/>
    <n v="791522"/>
    <b v="1"/>
    <m/>
    <m/>
    <m/>
    <x v="0"/>
    <b v="1"/>
    <n v="34088645"/>
    <s v="Joy"/>
    <s v="Frankum"/>
    <s v="Family Health Network/Community Care Alliance of Illinois"/>
    <s v=""/>
    <s v=""/>
    <s v="JFrankum@myfhn.com"/>
    <s v="815-986-8866"/>
    <s v=""/>
    <s v=""/>
    <s v=""/>
    <s v=""/>
    <s v=""/>
    <s v=""/>
    <s v=""/>
    <s v=""/>
    <s v=""/>
    <s v=""/>
    <s v=""/>
    <s v=""/>
    <s v=""/>
    <s v=""/>
    <s v=""/>
    <m/>
    <m/>
    <x v="0"/>
  </r>
  <r>
    <n v="43835323"/>
    <b v="0"/>
    <b v="0"/>
    <b v="0"/>
    <b v="1"/>
    <b v="0"/>
    <b v="1"/>
    <b v="1"/>
    <b v="0"/>
    <b v="0"/>
    <n v="0"/>
    <n v="0"/>
    <m/>
    <d v="2018-02-19T00:00:00"/>
    <n v="32127162"/>
    <d v="2018-02-19T00:00:00"/>
    <m/>
    <m/>
    <s v=""/>
    <b v="0"/>
    <m/>
    <m/>
    <d v="2018-02-19T00:00:00"/>
    <m/>
    <n v="791522"/>
    <b v="1"/>
    <m/>
    <d v="2018-02-19T00:00:00"/>
    <m/>
    <x v="0"/>
    <b v="1"/>
    <n v="43835323"/>
    <s v="Linda"/>
    <s v="Fraunhofer"/>
    <s v="LabCorp"/>
    <s v=""/>
    <s v=""/>
    <s v="schragl@labcorp.com"/>
    <s v=""/>
    <s v=""/>
    <s v=""/>
    <s v=""/>
    <s v=""/>
    <s v=""/>
    <s v=""/>
    <s v=""/>
    <s v=""/>
    <s v=""/>
    <s v=""/>
    <s v=""/>
    <s v=""/>
    <s v=""/>
    <s v=""/>
    <s v=""/>
    <s v="371616Newsletter Recipient"/>
    <m/>
    <x v="0"/>
  </r>
  <r>
    <n v="46643131"/>
    <b v="0"/>
    <b v="0"/>
    <b v="0"/>
    <b v="1"/>
    <b v="0"/>
    <b v="1"/>
    <b v="1"/>
    <b v="0"/>
    <b v="0"/>
    <n v="0"/>
    <n v="0"/>
    <m/>
    <d v="2018-06-26T00:00:00"/>
    <n v="32127162"/>
    <d v="2018-06-26T00:00:00"/>
    <m/>
    <m/>
    <s v=""/>
    <b v="0"/>
    <m/>
    <m/>
    <d v="2018-06-26T00:00:00"/>
    <m/>
    <n v="791522"/>
    <b v="1"/>
    <m/>
    <d v="2018-06-26T00:00:00"/>
    <m/>
    <x v="0"/>
    <b v="1"/>
    <n v="46643131"/>
    <s v="Earl"/>
    <s v="Frederick"/>
    <s v="NextLevel Health"/>
    <s v=""/>
    <s v=""/>
    <s v="earl.fredrick@nlhpartners.com"/>
    <s v=""/>
    <s v=""/>
    <s v=""/>
    <s v=""/>
    <s v=""/>
    <s v=""/>
    <s v=""/>
    <s v=""/>
    <s v=""/>
    <s v=""/>
    <s v=""/>
    <s v=""/>
    <s v=""/>
    <s v=""/>
    <s v=""/>
    <s v=""/>
    <s v="443813Discharge Planning"/>
    <m/>
    <x v="0"/>
  </r>
  <r>
    <n v="37819565"/>
    <b v="0"/>
    <b v="0"/>
    <b v="0"/>
    <b v="1"/>
    <b v="0"/>
    <b v="1"/>
    <b v="1"/>
    <b v="0"/>
    <b v="0"/>
    <n v="0"/>
    <n v="0"/>
    <m/>
    <d v="2017-02-24T00:00:00"/>
    <n v="32127162"/>
    <d v="2017-02-24T00:00:00"/>
    <m/>
    <m/>
    <s v=""/>
    <b v="0"/>
    <m/>
    <m/>
    <d v="2017-02-24T00:00:00"/>
    <m/>
    <n v="791522"/>
    <b v="1"/>
    <m/>
    <m/>
    <m/>
    <x v="0"/>
    <b v="1"/>
    <n v="37819565"/>
    <s v="Stephanie"/>
    <s v="French"/>
    <s v="Humana"/>
    <s v=""/>
    <s v=""/>
    <s v="SFrench5@humana.com"/>
    <s v=""/>
    <s v=""/>
    <s v=""/>
    <s v=""/>
    <s v=""/>
    <s v=""/>
    <s v=""/>
    <s v=""/>
    <s v=""/>
    <s v=""/>
    <s v=""/>
    <s v=""/>
    <s v=""/>
    <s v=""/>
    <s v=""/>
    <s v=""/>
    <s v="371616Newsletter Recipient"/>
    <m/>
    <x v="0"/>
  </r>
  <r>
    <n v="37778793"/>
    <b v="0"/>
    <b v="0"/>
    <b v="0"/>
    <b v="1"/>
    <b v="0"/>
    <b v="1"/>
    <b v="1"/>
    <b v="0"/>
    <b v="0"/>
    <n v="0"/>
    <n v="0"/>
    <m/>
    <d v="2017-02-24T00:00:00"/>
    <n v="32127162"/>
    <d v="2017-02-20T00:00:00"/>
    <m/>
    <m/>
    <s v=""/>
    <b v="0"/>
    <m/>
    <m/>
    <d v="2017-02-20T00:00:00"/>
    <m/>
    <n v="791522"/>
    <b v="1"/>
    <m/>
    <m/>
    <m/>
    <x v="0"/>
    <b v="1"/>
    <n v="37778793"/>
    <s v="Randy"/>
    <s v="Frese"/>
    <s v="Illinois General Assembly"/>
    <s v=""/>
    <s v="Representative Randy E. Frese (R)_x000a_94th District_x0009_ _x0009__x000a__x000a_Springfield Office:_x000a_225-N Stratton Office Building_x000a_Springfield, IL   62706_x000a_(217) 782-8096_x000a_(217) 782-1275 FAX_x000a__x000a_District Office:_x000a_3701 E. Lake Centre Dr._x000a_Suite 3_x000a_Quincy , IL  62305_x000a_(217) 223-0833_x000a_(217) 223-1565 FAX"/>
    <s v="repfrese@adams.net"/>
    <s v=""/>
    <s v=""/>
    <s v=""/>
    <s v=""/>
    <s v=""/>
    <s v=""/>
    <s v=""/>
    <s v=""/>
    <s v=""/>
    <s v=""/>
    <s v=""/>
    <s v=""/>
    <s v=""/>
    <s v=""/>
    <s v=""/>
    <s v=""/>
    <s v="371616Newsletter Recipient, 371627House of Representatives"/>
    <m/>
    <x v="0"/>
  </r>
  <r>
    <n v="37822852"/>
    <b v="0"/>
    <b v="0"/>
    <b v="0"/>
    <b v="1"/>
    <b v="0"/>
    <b v="1"/>
    <b v="1"/>
    <b v="0"/>
    <b v="0"/>
    <n v="0"/>
    <n v="0"/>
    <m/>
    <d v="2017-02-24T00:00:00"/>
    <n v="32127162"/>
    <d v="2017-02-24T00:00:00"/>
    <m/>
    <m/>
    <s v=""/>
    <b v="0"/>
    <m/>
    <m/>
    <d v="2017-02-24T00:00:00"/>
    <m/>
    <n v="791522"/>
    <b v="1"/>
    <m/>
    <m/>
    <m/>
    <x v="0"/>
    <b v="1"/>
    <n v="37822852"/>
    <s v="Dan"/>
    <s v="Frey"/>
    <s v="AIDS Foundation of Chicago"/>
    <s v=""/>
    <s v=""/>
    <s v="DFrey@aidschicago.org"/>
    <s v=""/>
    <s v=""/>
    <s v=""/>
    <s v=""/>
    <s v=""/>
    <s v=""/>
    <s v=""/>
    <s v=""/>
    <s v=""/>
    <s v=""/>
    <s v=""/>
    <s v=""/>
    <s v=""/>
    <s v=""/>
    <s v=""/>
    <s v=""/>
    <s v="371616Newsletter Recipient"/>
    <m/>
    <x v="0"/>
  </r>
  <r>
    <n v="42660377"/>
    <b v="0"/>
    <b v="0"/>
    <b v="0"/>
    <b v="1"/>
    <b v="0"/>
    <b v="1"/>
    <b v="1"/>
    <b v="0"/>
    <b v="0"/>
    <n v="0"/>
    <n v="0"/>
    <m/>
    <d v="2017-11-16T00:00:00"/>
    <n v="32127162"/>
    <d v="2017-11-16T00:00:00"/>
    <m/>
    <m/>
    <s v=""/>
    <b v="0"/>
    <m/>
    <m/>
    <d v="2017-11-16T00:00:00"/>
    <m/>
    <n v="791522"/>
    <b v="1"/>
    <m/>
    <d v="2017-11-16T00:00:00"/>
    <m/>
    <x v="0"/>
    <b v="1"/>
    <n v="42660377"/>
    <s v="Joyce"/>
    <s v="Fruit"/>
    <s v="Mendota Lutheran Home"/>
    <s v=""/>
    <s v=""/>
    <s v="businessmanager@mlh500.com"/>
    <s v=""/>
    <s v=""/>
    <s v=""/>
    <s v=""/>
    <s v=""/>
    <s v=""/>
    <s v=""/>
    <s v="Mendota Lutheran Home"/>
    <s v=""/>
    <s v=""/>
    <s v=""/>
    <s v=""/>
    <s v=""/>
    <s v=""/>
    <s v=""/>
    <s v=""/>
    <s v="371616Newsletter Recipient"/>
    <m/>
    <x v="0"/>
  </r>
  <r>
    <n v="37819568"/>
    <b v="0"/>
    <b v="0"/>
    <b v="0"/>
    <b v="1"/>
    <b v="0"/>
    <b v="1"/>
    <b v="1"/>
    <b v="0"/>
    <b v="0"/>
    <n v="0"/>
    <n v="0"/>
    <m/>
    <d v="2018-01-12T00:00:00"/>
    <n v="32127162"/>
    <d v="2017-02-24T00:00:00"/>
    <m/>
    <m/>
    <s v=""/>
    <b v="0"/>
    <m/>
    <m/>
    <d v="2017-02-24T00:00:00"/>
    <m/>
    <n v="791522"/>
    <b v="1"/>
    <m/>
    <m/>
    <m/>
    <x v="0"/>
    <b v="1"/>
    <n v="37819568"/>
    <s v="P"/>
    <s v="Furlough"/>
    <s v="Family Health Network"/>
    <s v=""/>
    <s v=""/>
    <s v="pfurlough@myfhn.com"/>
    <s v=""/>
    <s v=""/>
    <s v=""/>
    <s v=""/>
    <s v=""/>
    <s v=""/>
    <s v=""/>
    <s v=""/>
    <s v=""/>
    <s v=""/>
    <s v=""/>
    <s v=""/>
    <s v=""/>
    <s v=""/>
    <s v=""/>
    <s v=""/>
    <m/>
    <m/>
    <x v="0"/>
  </r>
  <r>
    <n v="37778796"/>
    <b v="0"/>
    <b v="0"/>
    <b v="0"/>
    <b v="1"/>
    <b v="0"/>
    <b v="1"/>
    <b v="1"/>
    <b v="0"/>
    <b v="0"/>
    <n v="0"/>
    <n v="0"/>
    <m/>
    <d v="2017-02-24T00:00:00"/>
    <n v="32127162"/>
    <d v="2017-02-20T00:00:00"/>
    <m/>
    <m/>
    <s v=""/>
    <b v="0"/>
    <m/>
    <m/>
    <d v="2017-02-20T00:00:00"/>
    <m/>
    <n v="791522"/>
    <b v="1"/>
    <m/>
    <m/>
    <m/>
    <x v="0"/>
    <b v="1"/>
    <n v="37778796"/>
    <s v="Robyn"/>
    <s v="Gabel"/>
    <s v="Illinois General Assembly"/>
    <s v=""/>
    <s v="Representative Robyn Gabel (D)_x000a_18th District _x0009__x000a__x000a_Springfield Office:_x000a_248-W Stratton Office Building_x000a_Springfield, IL   62706_x000a_(217) 782-8052_x000a_(217) 558-4553 FAX_x000a__x000a_District Office:_x000a_820 Davis Street_x000a_Suite 103_x000a_Evanston, IL  60201_x000a_(847) 424-9898_x000a_(847) 424-9828 FAX"/>
    <s v="staterepgabel@robyngabel.com"/>
    <s v=""/>
    <s v=""/>
    <s v=""/>
    <s v=""/>
    <s v=""/>
    <s v=""/>
    <s v=""/>
    <s v=""/>
    <s v=""/>
    <s v=""/>
    <s v=""/>
    <s v=""/>
    <s v=""/>
    <s v=""/>
    <s v=""/>
    <s v=""/>
    <s v="371616Newsletter Recipient, 371627House of Representatives"/>
    <m/>
    <x v="0"/>
  </r>
  <r>
    <n v="34022357"/>
    <b v="0"/>
    <b v="0"/>
    <b v="0"/>
    <b v="1"/>
    <b v="0"/>
    <b v="1"/>
    <b v="1"/>
    <b v="0"/>
    <b v="0"/>
    <n v="0"/>
    <n v="0"/>
    <m/>
    <d v="2018-06-29T00:00:00"/>
    <n v="32127162"/>
    <d v="2016-08-22T00:00:00"/>
    <m/>
    <m/>
    <s v=""/>
    <b v="0"/>
    <m/>
    <m/>
    <d v="2016-08-22T00:00:00"/>
    <m/>
    <n v="791522"/>
    <b v="1"/>
    <m/>
    <m/>
    <m/>
    <x v="0"/>
    <b v="1"/>
    <n v="34022357"/>
    <s v="Aaron"/>
    <s v="Galeener"/>
    <s v="CountyCare Health Plan"/>
    <s v=""/>
    <s v="Claims"/>
    <s v="AGaleener@cookcountyhhs.org"/>
    <s v="312-864-4667"/>
    <s v=""/>
    <s v=""/>
    <s v=""/>
    <s v=""/>
    <s v=""/>
    <s v=""/>
    <s v=""/>
    <s v=""/>
    <s v=""/>
    <s v=""/>
    <s v=""/>
    <s v=""/>
    <s v=""/>
    <s v=""/>
    <s v=""/>
    <s v="335742Chief Financial Officer, 335746Encounters Expert, 371616Newsletter Recipient, 372294Finance Committee, 372312IHA-IAMHP Working Group"/>
    <m/>
    <x v="0"/>
  </r>
  <r>
    <n v="37819572"/>
    <b v="0"/>
    <b v="0"/>
    <b v="0"/>
    <b v="1"/>
    <b v="0"/>
    <b v="1"/>
    <b v="1"/>
    <b v="0"/>
    <b v="0"/>
    <n v="0"/>
    <n v="0"/>
    <m/>
    <d v="2017-02-24T00:00:00"/>
    <n v="32127162"/>
    <d v="2017-02-24T00:00:00"/>
    <m/>
    <m/>
    <s v=""/>
    <b v="0"/>
    <m/>
    <m/>
    <d v="2017-02-24T00:00:00"/>
    <m/>
    <n v="791522"/>
    <b v="1"/>
    <m/>
    <m/>
    <m/>
    <x v="0"/>
    <b v="1"/>
    <n v="37819572"/>
    <s v="Yvette"/>
    <s v="Galindo"/>
    <s v="LIBERTY Dental Plan"/>
    <s v=""/>
    <s v=""/>
    <s v="ygalindo@libertydentalplan.com"/>
    <s v=""/>
    <s v=""/>
    <s v=""/>
    <s v=""/>
    <s v=""/>
    <s v=""/>
    <s v=""/>
    <s v=""/>
    <s v="Executive Assistant"/>
    <s v=""/>
    <s v=""/>
    <s v=""/>
    <s v=""/>
    <s v=""/>
    <s v=""/>
    <s v=""/>
    <s v="371616Newsletter Recipient"/>
    <m/>
    <x v="0"/>
  </r>
  <r>
    <n v="37819574"/>
    <b v="0"/>
    <b v="0"/>
    <b v="0"/>
    <b v="1"/>
    <b v="0"/>
    <b v="1"/>
    <b v="1"/>
    <b v="0"/>
    <b v="0"/>
    <n v="0"/>
    <n v="0"/>
    <m/>
    <d v="2017-02-24T00:00:00"/>
    <n v="32127162"/>
    <d v="2017-02-24T00:00:00"/>
    <m/>
    <m/>
    <s v=""/>
    <b v="0"/>
    <m/>
    <m/>
    <d v="2017-02-24T00:00:00"/>
    <m/>
    <n v="791522"/>
    <b v="1"/>
    <m/>
    <m/>
    <m/>
    <x v="0"/>
    <b v="1"/>
    <n v="37819574"/>
    <s v="Patrick"/>
    <s v="Gallagher"/>
    <s v="Illinois Health and Hospital Association (IHA)"/>
    <s v=""/>
    <s v=""/>
    <s v="pgallagher@ihastaff.org"/>
    <s v=""/>
    <s v=""/>
    <s v=""/>
    <s v=""/>
    <s v=""/>
    <s v=""/>
    <s v=""/>
    <s v=""/>
    <s v=""/>
    <s v=""/>
    <s v=""/>
    <s v=""/>
    <s v=""/>
    <s v=""/>
    <s v=""/>
    <s v=""/>
    <s v="371616Newsletter Recipient"/>
    <m/>
    <x v="0"/>
  </r>
  <r>
    <n v="37822736"/>
    <b v="0"/>
    <b v="0"/>
    <b v="0"/>
    <b v="1"/>
    <b v="0"/>
    <b v="1"/>
    <b v="0"/>
    <b v="0"/>
    <b v="0"/>
    <n v="0"/>
    <n v="0"/>
    <m/>
    <d v="2017-02-24T00:00:00"/>
    <n v="32127162"/>
    <d v="2017-02-24T00:00:00"/>
    <m/>
    <m/>
    <s v=""/>
    <b v="0"/>
    <m/>
    <m/>
    <d v="2017-02-24T00:00:00"/>
    <m/>
    <n v="791522"/>
    <b v="1"/>
    <m/>
    <m/>
    <m/>
    <x v="0"/>
    <b v="1"/>
    <n v="37822736"/>
    <s v="Bob"/>
    <s v="Gallo"/>
    <s v="AARP Illinois"/>
    <s v=""/>
    <s v=""/>
    <s v="Bgallo@aarp.org"/>
    <s v="866/448-3613"/>
    <s v=""/>
    <s v=""/>
    <s v=""/>
    <s v=""/>
    <s v=""/>
    <s v=""/>
    <s v=""/>
    <s v=""/>
    <s v=""/>
    <s v=""/>
    <s v=""/>
    <s v=""/>
    <s v=""/>
    <s v=""/>
    <s v=""/>
    <s v="371616Newsletter Recipient"/>
    <m/>
    <x v="0"/>
  </r>
  <r>
    <n v="43487412"/>
    <b v="0"/>
    <b v="0"/>
    <b v="0"/>
    <b v="1"/>
    <b v="0"/>
    <b v="1"/>
    <b v="1"/>
    <b v="0"/>
    <b v="0"/>
    <n v="0"/>
    <n v="0"/>
    <m/>
    <d v="2018-01-29T00:00:00"/>
    <n v="32127162"/>
    <d v="2018-01-29T00:00:00"/>
    <m/>
    <m/>
    <s v=""/>
    <b v="0"/>
    <m/>
    <m/>
    <d v="2018-01-28T00:00:00"/>
    <m/>
    <n v="791522"/>
    <b v="1"/>
    <m/>
    <d v="2018-01-29T00:00:00"/>
    <m/>
    <x v="0"/>
    <b v="1"/>
    <n v="43487412"/>
    <s v="Jay"/>
    <s v="Gandhi"/>
    <s v="Blue Cross Blue Shield of Illinois"/>
    <s v=""/>
    <s v=""/>
    <s v="jay_gandhi@bcbsil.com"/>
    <s v="(312) 653-2401"/>
    <s v=""/>
    <s v=""/>
    <s v=""/>
    <s v=""/>
    <s v=""/>
    <s v=""/>
    <s v=""/>
    <s v=""/>
    <s v=""/>
    <s v=""/>
    <s v=""/>
    <s v=""/>
    <s v=""/>
    <s v=""/>
    <s v=""/>
    <s v="371616Newsletter Recipient, 420970Pharmacy/Pharmaceuticals - Contracts"/>
    <s v="10633525Contracts"/>
    <x v="0"/>
  </r>
  <r>
    <n v="46435946"/>
    <b v="0"/>
    <b v="0"/>
    <b v="0"/>
    <b v="1"/>
    <b v="0"/>
    <b v="1"/>
    <b v="1"/>
    <b v="0"/>
    <b v="0"/>
    <n v="0"/>
    <n v="0"/>
    <m/>
    <d v="2018-06-21T00:00:00"/>
    <n v="32127162"/>
    <d v="2018-06-21T00:00:00"/>
    <m/>
    <m/>
    <s v=""/>
    <b v="0"/>
    <m/>
    <m/>
    <d v="2018-06-21T00:00:00"/>
    <m/>
    <n v="791522"/>
    <b v="1"/>
    <m/>
    <d v="2018-06-21T00:00:00"/>
    <m/>
    <x v="0"/>
    <b v="1"/>
    <n v="46435946"/>
    <s v="Marcelino"/>
    <s v="Garcia"/>
    <s v="Cook County Health and Hospitals System"/>
    <s v=""/>
    <s v=""/>
    <s v="mgarcia6@cookcountyhhs.org"/>
    <s v=""/>
    <s v=""/>
    <s v=""/>
    <s v=""/>
    <s v=""/>
    <s v=""/>
    <s v=""/>
    <s v="Cook County Health &amp; Hospitals System"/>
    <s v=""/>
    <s v=""/>
    <s v=""/>
    <s v=""/>
    <s v=""/>
    <s v=""/>
    <s v=""/>
    <s v=""/>
    <s v="371616Newsletter Recipient"/>
    <m/>
    <x v="0"/>
  </r>
  <r>
    <n v="37822846"/>
    <b v="0"/>
    <b v="0"/>
    <b v="0"/>
    <b v="1"/>
    <b v="0"/>
    <b v="1"/>
    <b v="1"/>
    <b v="0"/>
    <b v="0"/>
    <n v="0"/>
    <n v="0"/>
    <m/>
    <d v="2017-02-24T00:00:00"/>
    <n v="32127162"/>
    <d v="2017-02-24T00:00:00"/>
    <m/>
    <m/>
    <s v=""/>
    <b v="0"/>
    <m/>
    <m/>
    <d v="2017-02-24T00:00:00"/>
    <m/>
    <n v="791522"/>
    <b v="1"/>
    <m/>
    <m/>
    <m/>
    <x v="0"/>
    <b v="1"/>
    <n v="37822846"/>
    <s v="Romon"/>
    <s v="Gardenhire"/>
    <s v="AIDS Foundation of Chicago"/>
    <s v=""/>
    <s v=""/>
    <s v="rgardenhire@aidschicago.org"/>
    <s v=""/>
    <s v=""/>
    <s v=""/>
    <s v=""/>
    <s v=""/>
    <s v=""/>
    <s v=""/>
    <s v=""/>
    <s v=""/>
    <s v=""/>
    <s v=""/>
    <s v=""/>
    <s v=""/>
    <s v=""/>
    <s v=""/>
    <s v=""/>
    <s v="371616Newsletter Recipient"/>
    <m/>
    <x v="0"/>
  </r>
  <r>
    <n v="37819577"/>
    <b v="0"/>
    <b v="0"/>
    <b v="0"/>
    <b v="1"/>
    <b v="0"/>
    <b v="1"/>
    <b v="1"/>
    <b v="0"/>
    <b v="0"/>
    <n v="0"/>
    <n v="0"/>
    <m/>
    <d v="2018-03-16T00:00:00"/>
    <n v="32127162"/>
    <d v="2017-02-24T00:00:00"/>
    <d v="2018-02-05T00:00:00"/>
    <m/>
    <s v=""/>
    <b v="1"/>
    <m/>
    <m/>
    <d v="2017-02-24T00:00:00"/>
    <m/>
    <n v="791522"/>
    <b v="1"/>
    <m/>
    <m/>
    <m/>
    <x v="0"/>
    <b v="1"/>
    <n v="37819577"/>
    <s v="Taylor"/>
    <s v="Garrison"/>
    <s v="IlliniCare"/>
    <s v=""/>
    <s v=""/>
    <s v="Tagarrison@IlliniCare.com"/>
    <s v=""/>
    <s v=""/>
    <s v=""/>
    <s v=""/>
    <s v=""/>
    <s v=""/>
    <s v=""/>
    <s v=""/>
    <s v=""/>
    <s v=""/>
    <s v=""/>
    <s v=""/>
    <s v=""/>
    <s v=""/>
    <s v=""/>
    <s v=""/>
    <s v="371616Newsletter Recipient"/>
    <m/>
    <x v="0"/>
  </r>
  <r>
    <n v="43734866"/>
    <b v="0"/>
    <b v="0"/>
    <b v="0"/>
    <b v="1"/>
    <b v="0"/>
    <b v="1"/>
    <b v="1"/>
    <b v="0"/>
    <b v="0"/>
    <n v="0"/>
    <n v="0"/>
    <m/>
    <d v="2018-02-12T00:00:00"/>
    <n v="32127162"/>
    <d v="2018-02-12T00:00:00"/>
    <m/>
    <m/>
    <s v=""/>
    <b v="0"/>
    <m/>
    <m/>
    <d v="2018-02-12T00:00:00"/>
    <m/>
    <n v="791522"/>
    <b v="1"/>
    <m/>
    <d v="2018-02-12T00:00:00"/>
    <m/>
    <x v="0"/>
    <b v="1"/>
    <n v="43734866"/>
    <s v="Reuben David"/>
    <s v="Garza"/>
    <s v="Evolent Health"/>
    <s v=""/>
    <s v=""/>
    <s v="rgarza@evolenthealth.com"/>
    <s v=""/>
    <s v=""/>
    <s v=""/>
    <s v=""/>
    <s v=""/>
    <s v=""/>
    <s v=""/>
    <s v=""/>
    <s v=""/>
    <s v=""/>
    <s v=""/>
    <s v=""/>
    <s v=""/>
    <s v=""/>
    <s v=""/>
    <s v=""/>
    <s v="371616Newsletter Recipient"/>
    <m/>
    <x v="0"/>
  </r>
  <r>
    <n v="37822773"/>
    <b v="0"/>
    <b v="0"/>
    <b v="0"/>
    <b v="1"/>
    <b v="0"/>
    <b v="1"/>
    <b v="1"/>
    <b v="0"/>
    <b v="0"/>
    <n v="0"/>
    <n v="0"/>
    <m/>
    <d v="2017-02-24T00:00:00"/>
    <n v="32127162"/>
    <d v="2017-02-24T00:00:00"/>
    <m/>
    <m/>
    <s v=""/>
    <b v="0"/>
    <m/>
    <m/>
    <d v="2017-02-24T00:00:00"/>
    <m/>
    <n v="791522"/>
    <b v="1"/>
    <m/>
    <m/>
    <m/>
    <x v="0"/>
    <b v="1"/>
    <n v="37822773"/>
    <s v="Ireta"/>
    <s v="Gasner"/>
    <s v="Ounce of Prevention"/>
    <s v=""/>
    <s v=""/>
    <s v="IGasner@ounceofprevention.org"/>
    <s v=""/>
    <s v=""/>
    <s v=""/>
    <s v=""/>
    <s v=""/>
    <s v=""/>
    <s v=""/>
    <s v=""/>
    <s v=""/>
    <s v=""/>
    <s v=""/>
    <s v=""/>
    <s v=""/>
    <s v=""/>
    <s v=""/>
    <s v=""/>
    <s v="371616Newsletter Recipient"/>
    <m/>
    <x v="0"/>
  </r>
  <r>
    <n v="46436527"/>
    <b v="0"/>
    <b v="0"/>
    <b v="0"/>
    <b v="1"/>
    <b v="0"/>
    <b v="1"/>
    <b v="1"/>
    <b v="0"/>
    <b v="0"/>
    <n v="0"/>
    <n v="0"/>
    <m/>
    <d v="2018-06-21T00:00:00"/>
    <n v="32127162"/>
    <d v="2018-06-21T00:00:00"/>
    <m/>
    <m/>
    <s v=""/>
    <b v="0"/>
    <m/>
    <m/>
    <d v="2018-06-21T00:00:00"/>
    <m/>
    <n v="791522"/>
    <b v="1"/>
    <m/>
    <d v="2018-06-21T00:00:00"/>
    <m/>
    <x v="0"/>
    <b v="1"/>
    <n v="46436527"/>
    <s v="Dawn"/>
    <s v="Gay"/>
    <s v="Care Advisors"/>
    <s v=""/>
    <s v=""/>
    <s v="dawn.gay@care-advisors.com"/>
    <s v=""/>
    <s v=""/>
    <s v=""/>
    <s v=""/>
    <s v=""/>
    <s v=""/>
    <s v=""/>
    <s v="Care Advisors"/>
    <s v=""/>
    <s v=""/>
    <s v=""/>
    <s v=""/>
    <s v=""/>
    <s v=""/>
    <s v=""/>
    <s v=""/>
    <s v="371616Newsletter Recipient"/>
    <m/>
    <x v="0"/>
  </r>
  <r>
    <n v="39399520"/>
    <b v="0"/>
    <b v="0"/>
    <b v="0"/>
    <b v="1"/>
    <b v="0"/>
    <b v="1"/>
    <b v="1"/>
    <b v="0"/>
    <b v="0"/>
    <n v="0"/>
    <n v="0"/>
    <m/>
    <d v="2017-06-21T00:00:00"/>
    <n v="32127162"/>
    <d v="2017-06-21T00:00:00"/>
    <m/>
    <m/>
    <s v=""/>
    <b v="0"/>
    <m/>
    <m/>
    <d v="2017-06-21T00:00:00"/>
    <m/>
    <n v="791522"/>
    <b v="1"/>
    <m/>
    <m/>
    <m/>
    <x v="0"/>
    <b v="1"/>
    <n v="39399520"/>
    <s v="Emily"/>
    <s v="Gelber"/>
    <s v=""/>
    <s v=""/>
    <s v=""/>
    <s v="egelber@esperanzachicago.org"/>
    <s v=""/>
    <s v=""/>
    <s v=""/>
    <s v=""/>
    <s v=""/>
    <s v=""/>
    <s v=""/>
    <s v=""/>
    <s v=""/>
    <s v=""/>
    <s v=""/>
    <s v=""/>
    <s v=""/>
    <s v=""/>
    <s v=""/>
    <s v=""/>
    <s v="371616Newsletter Recipient"/>
    <m/>
    <x v="0"/>
  </r>
  <r>
    <n v="38303483"/>
    <b v="0"/>
    <b v="0"/>
    <b v="0"/>
    <b v="1"/>
    <b v="0"/>
    <b v="1"/>
    <b v="1"/>
    <b v="0"/>
    <b v="0"/>
    <n v="0"/>
    <n v="0"/>
    <m/>
    <d v="2017-06-21T00:00:00"/>
    <n v="32127162"/>
    <d v="2017-03-29T00:00:00"/>
    <m/>
    <m/>
    <s v=""/>
    <b v="0"/>
    <m/>
    <m/>
    <d v="2017-03-29T00:00:00"/>
    <m/>
    <n v="791522"/>
    <b v="1"/>
    <m/>
    <m/>
    <m/>
    <x v="0"/>
    <b v="1"/>
    <n v="38303483"/>
    <s v="Diane"/>
    <s v="Gerrits"/>
    <s v="Harmony Health Plan of Illinois - A WellCare Company"/>
    <s v=""/>
    <s v=""/>
    <s v="diane.gerrits@wellcare.com"/>
    <s v=""/>
    <s v=""/>
    <s v=""/>
    <s v=""/>
    <s v=""/>
    <s v=""/>
    <s v=""/>
    <s v=""/>
    <s v=""/>
    <s v=""/>
    <s v=""/>
    <s v=""/>
    <s v=""/>
    <s v=""/>
    <s v=""/>
    <s v=""/>
    <s v="3767711115 Workgroup"/>
    <m/>
    <x v="0"/>
  </r>
  <r>
    <n v="39460180"/>
    <b v="0"/>
    <b v="0"/>
    <b v="0"/>
    <b v="1"/>
    <b v="0"/>
    <b v="1"/>
    <b v="1"/>
    <b v="0"/>
    <b v="0"/>
    <n v="0"/>
    <n v="0"/>
    <m/>
    <d v="2017-06-26T00:00:00"/>
    <n v="32127162"/>
    <d v="2017-06-26T00:00:00"/>
    <m/>
    <m/>
    <s v=""/>
    <b v="0"/>
    <m/>
    <m/>
    <d v="2017-06-26T00:00:00"/>
    <m/>
    <n v="791522"/>
    <b v="1"/>
    <m/>
    <m/>
    <m/>
    <x v="0"/>
    <b v="1"/>
    <n v="39460180"/>
    <s v="Judith"/>
    <s v="Gethner"/>
    <s v="Illinois Partners for Human Service"/>
    <s v=""/>
    <s v=""/>
    <s v="judith@illinoispartners.org"/>
    <s v=""/>
    <s v=""/>
    <s v=""/>
    <s v=""/>
    <s v=""/>
    <s v=""/>
    <s v=""/>
    <s v=""/>
    <s v=""/>
    <s v=""/>
    <s v=""/>
    <s v=""/>
    <s v=""/>
    <s v=""/>
    <s v=""/>
    <s v=""/>
    <s v="371616Newsletter Recipient"/>
    <m/>
    <x v="0"/>
  </r>
  <r>
    <n v="37819583"/>
    <b v="0"/>
    <b v="0"/>
    <b v="0"/>
    <b v="1"/>
    <b v="0"/>
    <b v="1"/>
    <b v="1"/>
    <b v="0"/>
    <b v="0"/>
    <n v="0"/>
    <n v="0"/>
    <m/>
    <d v="2017-07-07T00:00:00"/>
    <n v="32127162"/>
    <d v="2017-02-24T00:00:00"/>
    <m/>
    <m/>
    <s v=""/>
    <b v="0"/>
    <m/>
    <m/>
    <d v="2017-02-24T00:00:00"/>
    <m/>
    <n v="791522"/>
    <b v="1"/>
    <m/>
    <m/>
    <m/>
    <x v="0"/>
    <b v="1"/>
    <n v="37819583"/>
    <s v="Sabrina"/>
    <s v="Gibson"/>
    <s v="WellCare Health Plans"/>
    <s v=""/>
    <s v=""/>
    <s v="sabrina.gibson@wellcare.com"/>
    <s v=""/>
    <s v=""/>
    <s v=""/>
    <s v=""/>
    <s v=""/>
    <s v=""/>
    <s v=""/>
    <s v=""/>
    <s v="VP Chief Medicaid Actuary"/>
    <s v=""/>
    <s v=""/>
    <s v=""/>
    <s v=""/>
    <s v=""/>
    <s v=""/>
    <s v=""/>
    <s v="371616Newsletter Recipient, 372294Finance Committee, 428250Hospital Assessment"/>
    <m/>
    <x v="0"/>
  </r>
  <r>
    <n v="34089003"/>
    <b v="0"/>
    <b v="0"/>
    <b v="0"/>
    <b v="1"/>
    <b v="0"/>
    <b v="1"/>
    <b v="1"/>
    <b v="0"/>
    <b v="0"/>
    <n v="0"/>
    <n v="0"/>
    <m/>
    <d v="2018-03-21T00:00:00"/>
    <n v="32127162"/>
    <d v="2016-08-29T00:00:00"/>
    <m/>
    <m/>
    <s v=""/>
    <b v="0"/>
    <m/>
    <m/>
    <d v="2016-08-29T00:00:00"/>
    <m/>
    <n v="791522"/>
    <b v="1"/>
    <m/>
    <m/>
    <m/>
    <x v="0"/>
    <b v="1"/>
    <n v="34089003"/>
    <s v="Christine"/>
    <s v="Gidley"/>
    <s v="Family Health Network/Community Care Alliance of Illinois"/>
    <s v=""/>
    <s v=""/>
    <s v="shore765@comcast.net"/>
    <s v="312-605-9841"/>
    <s v=""/>
    <s v=""/>
    <s v=""/>
    <s v=""/>
    <s v=""/>
    <s v=""/>
    <s v=""/>
    <s v=""/>
    <s v=""/>
    <s v=""/>
    <s v=""/>
    <s v=""/>
    <s v=""/>
    <s v=""/>
    <s v=""/>
    <m/>
    <m/>
    <x v="0"/>
  </r>
  <r>
    <n v="41258170"/>
    <b v="0"/>
    <b v="0"/>
    <b v="0"/>
    <b v="1"/>
    <b v="0"/>
    <b v="1"/>
    <b v="1"/>
    <b v="0"/>
    <b v="0"/>
    <n v="0"/>
    <n v="0"/>
    <m/>
    <d v="2017-08-28T00:00:00"/>
    <n v="32127162"/>
    <d v="2017-08-28T00:00:00"/>
    <m/>
    <m/>
    <s v=""/>
    <b v="0"/>
    <m/>
    <m/>
    <d v="2017-08-28T00:00:00"/>
    <m/>
    <n v="791522"/>
    <b v="1"/>
    <m/>
    <m/>
    <m/>
    <x v="0"/>
    <b v="1"/>
    <n v="41258170"/>
    <s v="Vinod"/>
    <s v="Gidwani"/>
    <s v="Gidwani"/>
    <s v=""/>
    <s v=""/>
    <s v="vgidwani@medcurrence.com"/>
    <s v=""/>
    <s v=""/>
    <s v=""/>
    <s v=""/>
    <s v=""/>
    <s v=""/>
    <s v=""/>
    <s v=""/>
    <s v=""/>
    <s v=""/>
    <s v=""/>
    <s v=""/>
    <s v=""/>
    <s v=""/>
    <s v=""/>
    <s v=""/>
    <s v="371616Newsletter Recipient"/>
    <m/>
    <x v="0"/>
  </r>
  <r>
    <n v="46437435"/>
    <b v="0"/>
    <b v="0"/>
    <b v="0"/>
    <b v="1"/>
    <b v="0"/>
    <b v="1"/>
    <b v="1"/>
    <b v="0"/>
    <b v="0"/>
    <n v="0"/>
    <n v="0"/>
    <m/>
    <d v="2018-06-21T00:00:00"/>
    <n v="32127162"/>
    <d v="2018-06-21T00:00:00"/>
    <m/>
    <m/>
    <s v=""/>
    <b v="0"/>
    <m/>
    <m/>
    <d v="2018-06-21T00:00:00"/>
    <m/>
    <n v="791522"/>
    <b v="1"/>
    <m/>
    <d v="2018-06-21T00:00:00"/>
    <m/>
    <x v="0"/>
    <b v="1"/>
    <n v="46437435"/>
    <s v="Heather"/>
    <s v="Gilbert"/>
    <s v="Quorum Health"/>
    <s v=""/>
    <s v=""/>
    <s v="heather_gilbert@quorumhealth.com"/>
    <s v=""/>
    <s v=""/>
    <s v=""/>
    <s v=""/>
    <s v=""/>
    <s v=""/>
    <s v=""/>
    <s v="Quorum Health"/>
    <s v=""/>
    <s v=""/>
    <s v=""/>
    <s v=""/>
    <s v=""/>
    <s v=""/>
    <s v=""/>
    <s v=""/>
    <s v="371616Newsletter Recipient"/>
    <m/>
    <x v="0"/>
  </r>
  <r>
    <n v="37819584"/>
    <b v="0"/>
    <b v="0"/>
    <b v="0"/>
    <b v="1"/>
    <b v="0"/>
    <b v="1"/>
    <b v="1"/>
    <b v="0"/>
    <b v="0"/>
    <n v="0"/>
    <n v="0"/>
    <m/>
    <d v="2017-02-24T00:00:00"/>
    <n v="32127162"/>
    <d v="2017-02-24T00:00:00"/>
    <m/>
    <m/>
    <s v=""/>
    <b v="0"/>
    <m/>
    <m/>
    <d v="2017-02-24T00:00:00"/>
    <m/>
    <n v="791522"/>
    <b v="1"/>
    <m/>
    <m/>
    <m/>
    <x v="0"/>
    <b v="1"/>
    <n v="37819584"/>
    <s v="Jae"/>
    <s v="Ginger"/>
    <s v="Humana"/>
    <s v=""/>
    <s v=""/>
    <s v="jginger1@humana.com"/>
    <s v=""/>
    <s v=""/>
    <s v=""/>
    <s v=""/>
    <s v=""/>
    <s v=""/>
    <s v=""/>
    <s v=""/>
    <s v=""/>
    <s v=""/>
    <s v=""/>
    <s v=""/>
    <s v=""/>
    <s v=""/>
    <s v=""/>
    <s v=""/>
    <s v="371616Newsletter Recipient"/>
    <m/>
    <x v="0"/>
  </r>
  <r>
    <n v="43488664"/>
    <b v="0"/>
    <b v="0"/>
    <b v="0"/>
    <b v="1"/>
    <b v="0"/>
    <b v="1"/>
    <b v="1"/>
    <b v="0"/>
    <b v="0"/>
    <n v="0"/>
    <n v="0"/>
    <m/>
    <d v="2018-06-26T00:00:00"/>
    <n v="32127162"/>
    <d v="2018-01-29T00:00:00"/>
    <m/>
    <m/>
    <s v=""/>
    <b v="0"/>
    <m/>
    <m/>
    <d v="2018-01-28T00:00:00"/>
    <m/>
    <n v="791522"/>
    <b v="1"/>
    <m/>
    <d v="2018-01-29T00:00:00"/>
    <m/>
    <x v="1"/>
    <b v="1"/>
    <n v="43488664"/>
    <s v="Dianne"/>
    <s v="Glenn"/>
    <s v="NextLevel Health"/>
    <s v=""/>
    <s v=""/>
    <s v="dianne.glenn@nlhpartners.com"/>
    <s v="(312) 300-5780 x110"/>
    <s v=""/>
    <s v=""/>
    <s v=""/>
    <s v=""/>
    <s v=""/>
    <s v=""/>
    <s v=""/>
    <s v=""/>
    <s v=""/>
    <s v=""/>
    <s v=""/>
    <s v=""/>
    <s v=""/>
    <s v=""/>
    <s v=""/>
    <s v="371616Newsletter Recipient, 443813Discharge Planning"/>
    <m/>
    <x v="0"/>
  </r>
  <r>
    <n v="43017664"/>
    <b v="0"/>
    <b v="0"/>
    <b v="0"/>
    <b v="1"/>
    <b v="0"/>
    <b v="1"/>
    <b v="1"/>
    <b v="0"/>
    <b v="0"/>
    <n v="0"/>
    <n v="0"/>
    <m/>
    <d v="2018-04-24T00:00:00"/>
    <n v="32127162"/>
    <d v="2017-12-21T00:00:00"/>
    <m/>
    <m/>
    <s v=""/>
    <b v="0"/>
    <m/>
    <m/>
    <d v="2017-12-21T00:00:00"/>
    <m/>
    <n v="791522"/>
    <b v="1"/>
    <m/>
    <d v="2017-12-21T00:00:00"/>
    <m/>
    <x v="0"/>
    <b v="1"/>
    <n v="43017664"/>
    <s v="Alan"/>
    <s v="Gloeckle"/>
    <s v="NextLevel Health"/>
    <s v="Chief Compliance Officer"/>
    <s v=""/>
    <s v="Alan.Gloeckle@nlhpartners.com"/>
    <s v=""/>
    <s v=""/>
    <s v=""/>
    <s v=""/>
    <s v=""/>
    <s v=""/>
    <s v=""/>
    <s v=""/>
    <s v=""/>
    <s v=""/>
    <s v=""/>
    <s v=""/>
    <s v=""/>
    <s v=""/>
    <s v=""/>
    <s v=""/>
    <s v="350522Compliance Officer, 371616Newsletter Recipient, 441580Compliance Committee"/>
    <m/>
    <x v="0"/>
  </r>
  <r>
    <n v="37819587"/>
    <b v="0"/>
    <b v="0"/>
    <b v="0"/>
    <b v="1"/>
    <b v="0"/>
    <b v="1"/>
    <b v="1"/>
    <b v="0"/>
    <b v="0"/>
    <n v="0"/>
    <n v="0"/>
    <m/>
    <d v="2017-02-24T00:00:00"/>
    <n v="32127162"/>
    <d v="2017-02-24T00:00:00"/>
    <m/>
    <m/>
    <s v=""/>
    <b v="0"/>
    <m/>
    <m/>
    <d v="2017-02-24T00:00:00"/>
    <m/>
    <n v="791522"/>
    <b v="1"/>
    <m/>
    <m/>
    <m/>
    <x v="0"/>
    <b v="1"/>
    <n v="37819587"/>
    <s v="Rebecca"/>
    <s v="Goldenberg"/>
    <s v="BlueCross BlueShield of Illinois"/>
    <s v=""/>
    <s v=""/>
    <s v="rebecca_goldenberg@bcbsil.com"/>
    <s v=""/>
    <s v=""/>
    <s v=""/>
    <s v=""/>
    <s v=""/>
    <s v=""/>
    <s v=""/>
    <s v=""/>
    <s v="Finance"/>
    <s v=""/>
    <s v=""/>
    <s v=""/>
    <s v=""/>
    <s v=""/>
    <s v=""/>
    <s v=""/>
    <s v="371616Newsletter Recipient, 372294Finance Committee, 428250Hospital Assessment"/>
    <m/>
    <x v="0"/>
  </r>
  <r>
    <n v="34020772"/>
    <b v="0"/>
    <b v="0"/>
    <b v="0"/>
    <b v="1"/>
    <b v="0"/>
    <b v="1"/>
    <b v="1"/>
    <b v="0"/>
    <b v="0"/>
    <n v="0"/>
    <n v="0"/>
    <m/>
    <d v="2017-12-07T00:00:00"/>
    <n v="32127162"/>
    <d v="2016-08-22T00:00:00"/>
    <m/>
    <m/>
    <s v=""/>
    <b v="0"/>
    <m/>
    <m/>
    <d v="2016-08-22T00:00:00"/>
    <m/>
    <n v="791522"/>
    <b v="1"/>
    <m/>
    <m/>
    <m/>
    <x v="0"/>
    <b v="1"/>
    <n v="34020772"/>
    <s v="David"/>
    <s v="Goltz"/>
    <s v="Blue Cross Blue Shield of Illinois"/>
    <s v=""/>
    <s v=""/>
    <s v="David_W_Goltz@bcbsil.com"/>
    <s v="653-653-2211"/>
    <s v=""/>
    <s v=""/>
    <s v=""/>
    <s v=""/>
    <s v=""/>
    <s v=""/>
    <s v=""/>
    <s v=""/>
    <s v=""/>
    <s v=""/>
    <s v=""/>
    <s v=""/>
    <s v=""/>
    <s v=""/>
    <s v=""/>
    <s v="371616Newsletter Recipient"/>
    <m/>
    <x v="0"/>
  </r>
  <r>
    <n v="37819588"/>
    <b v="0"/>
    <b v="0"/>
    <b v="0"/>
    <b v="1"/>
    <b v="0"/>
    <b v="1"/>
    <b v="1"/>
    <b v="0"/>
    <b v="0"/>
    <n v="0"/>
    <n v="0"/>
    <m/>
    <d v="2017-02-24T00:00:00"/>
    <n v="32127162"/>
    <d v="2017-02-24T00:00:00"/>
    <m/>
    <m/>
    <s v=""/>
    <b v="0"/>
    <m/>
    <m/>
    <d v="2017-02-24T00:00:00"/>
    <m/>
    <n v="791522"/>
    <b v="1"/>
    <m/>
    <m/>
    <m/>
    <x v="0"/>
    <b v="1"/>
    <n v="37819588"/>
    <s v="Dr. Madeleine"/>
    <s v="Gomez"/>
    <s v="PsycHealth, Ltd"/>
    <s v=""/>
    <s v=""/>
    <s v="mgomez@psychealthltd.com"/>
    <s v=""/>
    <s v=""/>
    <s v=""/>
    <s v=""/>
    <s v=""/>
    <s v=""/>
    <s v=""/>
    <s v=""/>
    <s v="President"/>
    <s v=""/>
    <s v=""/>
    <s v=""/>
    <s v=""/>
    <s v=""/>
    <s v=""/>
    <s v=""/>
    <s v="371616Newsletter Recipient"/>
    <m/>
    <x v="0"/>
  </r>
  <r>
    <n v="44047165"/>
    <b v="0"/>
    <b v="0"/>
    <b v="0"/>
    <b v="1"/>
    <b v="0"/>
    <b v="1"/>
    <b v="1"/>
    <b v="0"/>
    <b v="0"/>
    <n v="0"/>
    <n v="0"/>
    <m/>
    <d v="2018-03-02T00:00:00"/>
    <n v="32127162"/>
    <d v="2018-03-02T00:00:00"/>
    <m/>
    <m/>
    <s v=""/>
    <b v="0"/>
    <m/>
    <m/>
    <d v="2018-03-02T00:00:00"/>
    <m/>
    <n v="791522"/>
    <b v="1"/>
    <m/>
    <d v="2018-03-02T00:00:00"/>
    <m/>
    <x v="0"/>
    <b v="1"/>
    <n v="44047165"/>
    <s v="Theresa"/>
    <s v="Gonzales"/>
    <s v="HSAG"/>
    <s v=""/>
    <s v=""/>
    <s v="tgonzales@hsag.com"/>
    <s v=""/>
    <s v=""/>
    <s v=""/>
    <s v=""/>
    <s v=""/>
    <s v=""/>
    <s v=""/>
    <s v=""/>
    <s v=""/>
    <s v=""/>
    <s v=""/>
    <s v=""/>
    <s v=""/>
    <s v=""/>
    <s v=""/>
    <s v=""/>
    <s v="371616Newsletter Recipient"/>
    <m/>
    <x v="0"/>
  </r>
  <r>
    <n v="34021490"/>
    <b v="0"/>
    <b v="0"/>
    <b v="0"/>
    <b v="1"/>
    <b v="0"/>
    <b v="1"/>
    <b v="1"/>
    <b v="0"/>
    <b v="0"/>
    <n v="0"/>
    <n v="0"/>
    <m/>
    <d v="2018-01-22T00:00:00"/>
    <n v="32127162"/>
    <d v="2016-08-22T00:00:00"/>
    <m/>
    <m/>
    <s v=""/>
    <b v="0"/>
    <m/>
    <m/>
    <d v="2016-08-22T00:00:00"/>
    <m/>
    <n v="791522"/>
    <b v="1"/>
    <m/>
    <m/>
    <m/>
    <x v="0"/>
    <b v="1"/>
    <n v="34021490"/>
    <s v="Eugenia"/>
    <s v="Gonzalez"/>
    <s v="Blue Cross Blue Shield of Illinois"/>
    <s v=""/>
    <s v=""/>
    <s v="Eugenia_M_Gonzalez@bcbsil.com"/>
    <s v="312-653-3413"/>
    <s v=""/>
    <s v=""/>
    <s v=""/>
    <s v=""/>
    <s v=""/>
    <s v=""/>
    <s v=""/>
    <s v=""/>
    <s v=""/>
    <s v=""/>
    <s v=""/>
    <s v=""/>
    <s v=""/>
    <s v=""/>
    <s v=""/>
    <s v="371616Newsletter Recipient"/>
    <m/>
    <x v="0"/>
  </r>
  <r>
    <n v="37819592"/>
    <b v="0"/>
    <b v="0"/>
    <b v="0"/>
    <b v="1"/>
    <b v="0"/>
    <b v="1"/>
    <b v="1"/>
    <b v="0"/>
    <b v="0"/>
    <n v="0"/>
    <n v="0"/>
    <m/>
    <d v="2017-11-21T00:00:00"/>
    <n v="32127162"/>
    <d v="2017-02-24T00:00:00"/>
    <m/>
    <m/>
    <s v=""/>
    <b v="0"/>
    <m/>
    <m/>
    <d v="2017-02-24T00:00:00"/>
    <m/>
    <n v="791522"/>
    <b v="1"/>
    <m/>
    <m/>
    <m/>
    <x v="0"/>
    <b v="1"/>
    <n v="37819592"/>
    <s v="Karina"/>
    <s v="Gonzalez"/>
    <s v="Molina Healthcare of Illinois, Inc."/>
    <s v=""/>
    <s v=""/>
    <s v="Karina.Gonzalez@MolinaHealthcare.com"/>
    <s v=""/>
    <s v=""/>
    <s v=""/>
    <s v=""/>
    <s v=""/>
    <s v=""/>
    <s v=""/>
    <s v=""/>
    <s v=""/>
    <s v=""/>
    <s v=""/>
    <s v=""/>
    <s v=""/>
    <s v=""/>
    <s v=""/>
    <s v=""/>
    <s v="371616Newsletter Recipient, 372306Marketing Committee"/>
    <m/>
    <x v="0"/>
  </r>
  <r>
    <n v="42846971"/>
    <b v="0"/>
    <b v="0"/>
    <b v="0"/>
    <b v="1"/>
    <b v="0"/>
    <b v="1"/>
    <b v="1"/>
    <b v="0"/>
    <b v="0"/>
    <n v="0"/>
    <n v="0"/>
    <m/>
    <d v="2018-05-29T00:00:00"/>
    <n v="32127162"/>
    <d v="2017-12-06T00:00:00"/>
    <m/>
    <m/>
    <s v=""/>
    <b v="0"/>
    <m/>
    <m/>
    <d v="2017-12-06T00:00:00"/>
    <m/>
    <n v="791522"/>
    <b v="1"/>
    <m/>
    <d v="2017-12-06T00:00:00"/>
    <m/>
    <x v="0"/>
    <b v="1"/>
    <n v="42846971"/>
    <s v="Katie"/>
    <s v="Goodhart"/>
    <s v="Blue Cross Blue Shield of Illinois"/>
    <s v=""/>
    <s v=""/>
    <s v="katie_goodhart@bcbsmt.com"/>
    <s v=""/>
    <s v=""/>
    <s v=""/>
    <s v=""/>
    <s v=""/>
    <s v=""/>
    <s v=""/>
    <s v=""/>
    <s v=""/>
    <s v=""/>
    <s v=""/>
    <s v=""/>
    <s v=""/>
    <s v=""/>
    <s v=""/>
    <s v=""/>
    <s v="372297Operations Committee, 447857HFS Ops Workgroup"/>
    <m/>
    <x v="0"/>
  </r>
  <r>
    <n v="43419054"/>
    <b v="0"/>
    <b v="0"/>
    <b v="0"/>
    <b v="1"/>
    <b v="0"/>
    <b v="1"/>
    <b v="1"/>
    <b v="0"/>
    <b v="0"/>
    <n v="0"/>
    <n v="0"/>
    <m/>
    <d v="2018-04-16T00:00:00"/>
    <n v="32127162"/>
    <d v="2018-01-22T00:00:00"/>
    <m/>
    <m/>
    <s v=""/>
    <b v="0"/>
    <m/>
    <m/>
    <d v="2018-01-22T00:00:00"/>
    <m/>
    <n v="791522"/>
    <b v="1"/>
    <m/>
    <d v="2018-01-22T00:00:00"/>
    <m/>
    <x v="0"/>
    <b v="1"/>
    <n v="43419054"/>
    <s v="Staci"/>
    <s v="Goodrich"/>
    <s v="Molina Healthcare of Illinois, Inc."/>
    <s v=""/>
    <s v=""/>
    <s v="Staci.Goodrich@MolinaHealthCare.com"/>
    <s v=""/>
    <s v=""/>
    <s v=""/>
    <s v=""/>
    <s v=""/>
    <s v=""/>
    <s v=""/>
    <s v=""/>
    <s v=""/>
    <s v=""/>
    <s v=""/>
    <s v=""/>
    <s v=""/>
    <s v=""/>
    <s v=""/>
    <s v=""/>
    <s v="335745Quality Directors, 371616Newsletter Recipient, 372293Quality Committee"/>
    <m/>
    <x v="0"/>
  </r>
  <r>
    <n v="37819593"/>
    <b v="0"/>
    <b v="0"/>
    <b v="0"/>
    <b v="1"/>
    <b v="0"/>
    <b v="1"/>
    <b v="1"/>
    <b v="0"/>
    <b v="0"/>
    <n v="0"/>
    <n v="0"/>
    <m/>
    <d v="2017-02-24T00:00:00"/>
    <n v="32127162"/>
    <d v="2017-02-24T00:00:00"/>
    <m/>
    <m/>
    <s v=""/>
    <b v="0"/>
    <m/>
    <m/>
    <d v="2017-02-24T00:00:00"/>
    <m/>
    <n v="791522"/>
    <b v="1"/>
    <m/>
    <m/>
    <m/>
    <x v="0"/>
    <b v="1"/>
    <n v="37819593"/>
    <s v="Samantha"/>
    <s v="Gorczewicz"/>
    <s v="Meridian"/>
    <s v=""/>
    <s v=""/>
    <s v="samantha.gorczewicz@mhplan.com"/>
    <s v=""/>
    <s v=""/>
    <s v=""/>
    <s v=""/>
    <s v=""/>
    <s v=""/>
    <s v=""/>
    <s v=""/>
    <s v=""/>
    <s v=""/>
    <s v=""/>
    <s v=""/>
    <s v=""/>
    <s v=""/>
    <s v=""/>
    <s v=""/>
    <s v="371616Newsletter Recipient"/>
    <m/>
    <x v="0"/>
  </r>
  <r>
    <n v="44047372"/>
    <b v="0"/>
    <b v="0"/>
    <b v="0"/>
    <b v="1"/>
    <b v="0"/>
    <b v="1"/>
    <b v="1"/>
    <b v="0"/>
    <b v="0"/>
    <n v="0"/>
    <n v="0"/>
    <m/>
    <d v="2018-03-02T00:00:00"/>
    <n v="32127162"/>
    <d v="2018-03-02T00:00:00"/>
    <m/>
    <m/>
    <s v=""/>
    <b v="0"/>
    <m/>
    <m/>
    <d v="2018-03-02T00:00:00"/>
    <m/>
    <n v="791522"/>
    <b v="1"/>
    <m/>
    <d v="2018-03-02T00:00:00"/>
    <m/>
    <x v="0"/>
    <b v="1"/>
    <n v="44047372"/>
    <s v="Mrugaya"/>
    <s v="Gorde"/>
    <s v="LSSI"/>
    <s v=""/>
    <s v=""/>
    <s v="mrugaya.gorde@lssi.org"/>
    <s v=""/>
    <s v=""/>
    <s v=""/>
    <s v=""/>
    <s v=""/>
    <s v=""/>
    <s v=""/>
    <s v=""/>
    <s v=""/>
    <s v=""/>
    <s v=""/>
    <s v=""/>
    <s v=""/>
    <s v=""/>
    <s v=""/>
    <s v=""/>
    <s v="371616Newsletter Recipient"/>
    <m/>
    <x v="0"/>
  </r>
  <r>
    <n v="37778967"/>
    <b v="0"/>
    <b v="0"/>
    <b v="0"/>
    <b v="1"/>
    <b v="0"/>
    <b v="1"/>
    <b v="0"/>
    <b v="0"/>
    <b v="0"/>
    <n v="0"/>
    <n v="0"/>
    <m/>
    <d v="2017-02-24T00:00:00"/>
    <n v="32127162"/>
    <d v="2017-02-20T00:00:00"/>
    <m/>
    <m/>
    <s v=""/>
    <b v="0"/>
    <m/>
    <m/>
    <d v="2017-02-20T00:00:00"/>
    <m/>
    <n v="791522"/>
    <b v="1"/>
    <m/>
    <m/>
    <m/>
    <x v="0"/>
    <b v="1"/>
    <n v="37778967"/>
    <s v="Jehan"/>
    <s v="Gordon-Booth"/>
    <s v="Illinois General Assembly"/>
    <s v=""/>
    <s v="Representative Jehan Gordon-Booth (D)_x000a_92nd District_x000a_Assistant Majority Leader_x0009_ _x0009__x000a__x000a_Springfield Office:_x000a_200-8S Stratton Office Building_x000a_Springfield, IL   62706_x000a_(217) 782-3186_x000a_(217) 558-4552 FAX_x000a__x000a_District Office:_x000a_300 E. War Memorial Drive_x000a_Suite 303_x000a_Peoria, IL  61614_x000a_(309) 681-1992_x000a_(309) 681-8572 FAX"/>
    <s v="repjgordon@gmail.com"/>
    <s v=""/>
    <s v=""/>
    <s v=""/>
    <s v=""/>
    <s v=""/>
    <s v=""/>
    <s v=""/>
    <s v=""/>
    <s v=""/>
    <s v=""/>
    <s v=""/>
    <s v=""/>
    <s v=""/>
    <s v=""/>
    <s v=""/>
    <s v=""/>
    <s v="371616Newsletter Recipient, 371627House of Representatives"/>
    <m/>
    <x v="0"/>
  </r>
  <r>
    <n v="37822833"/>
    <b v="0"/>
    <b v="0"/>
    <b v="0"/>
    <b v="1"/>
    <b v="0"/>
    <b v="1"/>
    <b v="1"/>
    <b v="0"/>
    <b v="0"/>
    <n v="0"/>
    <n v="0"/>
    <m/>
    <d v="2017-02-24T00:00:00"/>
    <n v="32127162"/>
    <d v="2017-02-24T00:00:00"/>
    <m/>
    <m/>
    <s v=""/>
    <b v="0"/>
    <m/>
    <m/>
    <d v="2017-02-24T00:00:00"/>
    <m/>
    <n v="791522"/>
    <b v="1"/>
    <m/>
    <m/>
    <m/>
    <x v="0"/>
    <b v="1"/>
    <n v="37822833"/>
    <s v="Kathye"/>
    <s v="Gorosh"/>
    <s v="AIDS Foundation of Chicago"/>
    <s v=""/>
    <s v=""/>
    <s v="kgorosh@aidschicago.org"/>
    <s v=""/>
    <s v=""/>
    <s v=""/>
    <s v=""/>
    <s v=""/>
    <s v=""/>
    <s v=""/>
    <s v=""/>
    <s v=""/>
    <s v=""/>
    <s v=""/>
    <s v=""/>
    <s v=""/>
    <s v=""/>
    <s v=""/>
    <s v=""/>
    <s v="371616Newsletter Recipient"/>
    <m/>
    <x v="0"/>
  </r>
  <r>
    <n v="42436897"/>
    <b v="0"/>
    <b v="0"/>
    <b v="0"/>
    <b v="1"/>
    <b v="0"/>
    <b v="1"/>
    <b v="1"/>
    <b v="0"/>
    <b v="0"/>
    <n v="0"/>
    <n v="0"/>
    <m/>
    <d v="2018-04-16T00:00:00"/>
    <n v="32127162"/>
    <d v="2017-11-02T00:00:00"/>
    <m/>
    <m/>
    <s v=""/>
    <b v="0"/>
    <m/>
    <m/>
    <d v="2017-11-02T00:00:00"/>
    <m/>
    <n v="791522"/>
    <b v="1"/>
    <m/>
    <d v="2017-11-02T00:00:00"/>
    <m/>
    <x v="0"/>
    <b v="1"/>
    <n v="42436897"/>
    <s v="Jessica"/>
    <s v="Grabowski"/>
    <s v="Coordinated Care Alliance"/>
    <s v=""/>
    <s v=""/>
    <s v="jgrabowski@coordinatedcarealliance.org"/>
    <s v=""/>
    <s v=""/>
    <s v=""/>
    <s v=""/>
    <s v="630-915-6202"/>
    <s v="224-535-8380"/>
    <s v="224-241-3049"/>
    <s v="Coordinated Care Alliance"/>
    <s v="Executive Director"/>
    <s v=""/>
    <s v=""/>
    <s v=""/>
    <s v=""/>
    <s v=""/>
    <s v=""/>
    <s v=""/>
    <s v="371616Newsletter Recipient, 372311Business Member"/>
    <m/>
    <x v="0"/>
  </r>
  <r>
    <n v="43669512"/>
    <b v="0"/>
    <b v="0"/>
    <b v="0"/>
    <b v="1"/>
    <b v="0"/>
    <b v="1"/>
    <b v="1"/>
    <b v="0"/>
    <b v="0"/>
    <n v="0"/>
    <n v="0"/>
    <m/>
    <d v="2018-03-13T00:00:00"/>
    <n v="32127162"/>
    <d v="2018-02-08T00:00:00"/>
    <m/>
    <m/>
    <s v=""/>
    <b v="0"/>
    <m/>
    <m/>
    <d v="2018-02-07T00:00:00"/>
    <m/>
    <n v="791522"/>
    <b v="1"/>
    <m/>
    <d v="2018-02-08T00:00:00"/>
    <m/>
    <x v="0"/>
    <b v="1"/>
    <n v="43669512"/>
    <s v="Michelle"/>
    <s v="Grace"/>
    <s v="The Gemini Group, LTD"/>
    <s v=""/>
    <s v=""/>
    <s v="michelle.grace@gemini-ii.com"/>
    <s v=""/>
    <s v=""/>
    <s v=""/>
    <s v=""/>
    <s v=""/>
    <s v=""/>
    <s v=""/>
    <s v=""/>
    <s v=""/>
    <s v=""/>
    <s v=""/>
    <s v=""/>
    <s v=""/>
    <s v=""/>
    <s v=""/>
    <s v=""/>
    <s v="371616Newsletter Recipient, 372306Marketing Committee"/>
    <m/>
    <x v="0"/>
  </r>
  <r>
    <n v="39528914"/>
    <b v="0"/>
    <b v="0"/>
    <b v="0"/>
    <b v="1"/>
    <b v="0"/>
    <b v="1"/>
    <b v="1"/>
    <b v="0"/>
    <b v="0"/>
    <n v="0"/>
    <n v="0"/>
    <m/>
    <d v="2018-01-29T00:00:00"/>
    <n v="32127162"/>
    <d v="2017-06-27T00:00:00"/>
    <m/>
    <m/>
    <s v=""/>
    <b v="0"/>
    <m/>
    <m/>
    <d v="2017-06-27T00:00:00"/>
    <m/>
    <n v="791522"/>
    <b v="1"/>
    <m/>
    <m/>
    <m/>
    <x v="0"/>
    <b v="1"/>
    <n v="39528914"/>
    <s v="Barbara"/>
    <s v="Graf"/>
    <s v="Blue Cross Blue Shield"/>
    <s v=""/>
    <s v=""/>
    <s v="bgraf@davisvision.com"/>
    <s v="210-441-8911"/>
    <s v=""/>
    <s v=""/>
    <s v=""/>
    <s v=""/>
    <s v=""/>
    <s v=""/>
    <s v=""/>
    <s v=""/>
    <s v=""/>
    <s v=""/>
    <s v=""/>
    <s v=""/>
    <s v=""/>
    <s v=""/>
    <s v=""/>
    <s v="371616Newsletter Recipient"/>
    <m/>
    <x v="0"/>
  </r>
  <r>
    <n v="43021721"/>
    <b v="0"/>
    <b v="0"/>
    <b v="1"/>
    <b v="1"/>
    <b v="0"/>
    <b v="1"/>
    <b v="1"/>
    <b v="0"/>
    <b v="0"/>
    <n v="0"/>
    <n v="0"/>
    <m/>
    <d v="2018-01-16T00:00:00"/>
    <n v="32127162"/>
    <d v="2017-12-21T00:00:00"/>
    <m/>
    <m/>
    <s v=""/>
    <b v="0"/>
    <m/>
    <m/>
    <d v="2018-01-16T00:00:00"/>
    <m/>
    <n v="791522"/>
    <b v="1"/>
    <m/>
    <d v="2018-01-16T00:00:00"/>
    <m/>
    <x v="0"/>
    <b v="1"/>
    <n v="43021721"/>
    <s v="Marcella"/>
    <s v="Graf"/>
    <s v="Citadel Healthcare"/>
    <s v="CFO"/>
    <s v=""/>
    <s v="mgraf@citadelhealthcare.com"/>
    <s v="2244702044"/>
    <s v=""/>
    <s v=""/>
    <s v=""/>
    <s v=""/>
    <s v=""/>
    <s v=""/>
    <s v=""/>
    <s v=""/>
    <s v=""/>
    <s v=""/>
    <s v=""/>
    <s v=""/>
    <s v=""/>
    <s v=""/>
    <s v=""/>
    <s v="371616Newsletter Recipient"/>
    <m/>
    <x v="0"/>
  </r>
  <r>
    <n v="45814461"/>
    <b v="0"/>
    <b v="0"/>
    <b v="0"/>
    <b v="1"/>
    <b v="0"/>
    <b v="1"/>
    <b v="1"/>
    <b v="0"/>
    <b v="0"/>
    <n v="0"/>
    <n v="0"/>
    <m/>
    <d v="2018-05-29T00:00:00"/>
    <n v="32127162"/>
    <d v="2018-05-29T00:00:00"/>
    <m/>
    <m/>
    <s v=""/>
    <b v="0"/>
    <m/>
    <m/>
    <d v="2018-05-29T00:00:00"/>
    <m/>
    <n v="791522"/>
    <b v="1"/>
    <m/>
    <d v="2018-05-29T00:00:00"/>
    <m/>
    <x v="0"/>
    <b v="1"/>
    <n v="45814461"/>
    <s v="Arin"/>
    <s v="Graham"/>
    <s v="Harmony Health Plan of Illinois - A WellCare Company"/>
    <s v=""/>
    <s v=""/>
    <s v="arin.graham@wellcare.com"/>
    <s v=""/>
    <s v=""/>
    <s v=""/>
    <s v=""/>
    <s v=""/>
    <s v=""/>
    <s v=""/>
    <s v="Harmony Health Plan of Illinois - A WellCare Company"/>
    <s v=""/>
    <s v=""/>
    <s v=""/>
    <s v=""/>
    <s v=""/>
    <s v=""/>
    <s v=""/>
    <s v=""/>
    <s v="447857HFS Ops Workgroup"/>
    <m/>
    <x v="0"/>
  </r>
  <r>
    <n v="43419398"/>
    <b v="0"/>
    <b v="0"/>
    <b v="0"/>
    <b v="1"/>
    <b v="0"/>
    <b v="1"/>
    <b v="1"/>
    <b v="0"/>
    <b v="0"/>
    <n v="0"/>
    <n v="0"/>
    <m/>
    <d v="2018-06-22T00:00:00"/>
    <n v="32127162"/>
    <d v="2018-01-22T00:00:00"/>
    <m/>
    <m/>
    <s v=""/>
    <b v="0"/>
    <m/>
    <m/>
    <d v="2018-01-22T00:00:00"/>
    <m/>
    <n v="791522"/>
    <b v="1"/>
    <m/>
    <d v="2018-01-22T00:00:00"/>
    <m/>
    <x v="0"/>
    <b v="1"/>
    <n v="43419398"/>
    <s v="Dianna"/>
    <s v="Grant"/>
    <s v="NextLevel Health"/>
    <s v="Dr."/>
    <s v=""/>
    <s v="dianna.grant@nlhpartners.com"/>
    <s v=""/>
    <s v=""/>
    <s v=""/>
    <s v=""/>
    <s v=""/>
    <s v=""/>
    <s v=""/>
    <s v=""/>
    <s v="Chief Medical Officer"/>
    <s v=""/>
    <s v=""/>
    <s v=""/>
    <s v=""/>
    <s v=""/>
    <s v=""/>
    <s v=""/>
    <s v="335700Behavioral Health - Vendor Contact, 335744Chief Medical Officer, 371616Newsletter Recipient, 372292Medical Directors, 372293Quality Committee, 3767711115 Workgroup"/>
    <m/>
    <x v="0"/>
  </r>
  <r>
    <n v="44047438"/>
    <b v="0"/>
    <b v="0"/>
    <b v="0"/>
    <b v="1"/>
    <b v="0"/>
    <b v="1"/>
    <b v="1"/>
    <b v="0"/>
    <b v="0"/>
    <n v="0"/>
    <n v="0"/>
    <m/>
    <d v="2018-03-02T00:00:00"/>
    <n v="32127162"/>
    <d v="2018-03-02T00:00:00"/>
    <m/>
    <m/>
    <s v=""/>
    <b v="0"/>
    <m/>
    <m/>
    <d v="2018-03-02T00:00:00"/>
    <m/>
    <n v="791522"/>
    <b v="1"/>
    <m/>
    <d v="2018-03-02T00:00:00"/>
    <m/>
    <x v="0"/>
    <b v="1"/>
    <n v="44047438"/>
    <s v="Susan"/>
    <s v="Grant"/>
    <s v="McLean County Health Department"/>
    <s v=""/>
    <s v=""/>
    <s v="susan.grant@mcleancountyil.gov"/>
    <s v=""/>
    <s v=""/>
    <s v=""/>
    <s v=""/>
    <s v=""/>
    <s v=""/>
    <s v=""/>
    <s v=""/>
    <s v=""/>
    <s v=""/>
    <s v=""/>
    <s v=""/>
    <s v=""/>
    <s v=""/>
    <s v=""/>
    <s v=""/>
    <s v="371616Newsletter Recipient"/>
    <m/>
    <x v="0"/>
  </r>
  <r>
    <n v="42678255"/>
    <b v="0"/>
    <b v="0"/>
    <b v="0"/>
    <b v="1"/>
    <b v="0"/>
    <b v="1"/>
    <b v="1"/>
    <b v="0"/>
    <b v="0"/>
    <n v="0"/>
    <n v="0"/>
    <m/>
    <d v="2018-02-12T00:00:00"/>
    <n v="32127162"/>
    <d v="2017-11-17T00:00:00"/>
    <m/>
    <m/>
    <s v=""/>
    <b v="0"/>
    <m/>
    <m/>
    <d v="2017-11-17T00:00:00"/>
    <m/>
    <n v="791522"/>
    <b v="1"/>
    <m/>
    <d v="2017-11-17T00:00:00"/>
    <m/>
    <x v="0"/>
    <b v="1"/>
    <n v="42678255"/>
    <s v="Kathy"/>
    <s v="Green"/>
    <s v="Harrisburg Medical Center"/>
    <s v=""/>
    <s v=""/>
    <s v="kgreen@harrisburgmc.com"/>
    <s v=""/>
    <s v=""/>
    <s v=""/>
    <s v=""/>
    <s v=""/>
    <s v=""/>
    <s v=""/>
    <s v="Harrisburg Medical Center"/>
    <s v=""/>
    <s v=""/>
    <s v=""/>
    <s v=""/>
    <s v=""/>
    <s v=""/>
    <s v=""/>
    <s v=""/>
    <s v="371616Newsletter Recipient"/>
    <m/>
    <x v="0"/>
  </r>
  <r>
    <n v="34090285"/>
    <b v="0"/>
    <b v="0"/>
    <b v="0"/>
    <b v="1"/>
    <b v="0"/>
    <b v="1"/>
    <b v="1"/>
    <b v="0"/>
    <b v="0"/>
    <n v="0"/>
    <n v="0"/>
    <m/>
    <d v="2017-06-28T00:00:00"/>
    <n v="32127162"/>
    <d v="2016-08-29T00:00:00"/>
    <m/>
    <m/>
    <s v=""/>
    <b v="0"/>
    <m/>
    <m/>
    <d v="2016-08-29T00:00:00"/>
    <m/>
    <n v="791522"/>
    <b v="1"/>
    <m/>
    <m/>
    <m/>
    <x v="0"/>
    <b v="1"/>
    <n v="34090285"/>
    <s v="Kathleen"/>
    <s v="Greenfield"/>
    <s v="Harmony Health Plan of Illinois - A WellCare Company"/>
    <s v=""/>
    <s v=""/>
    <s v="Kathleen.Greenfield@wellcare.com"/>
    <s v="312-516-5885"/>
    <s v=""/>
    <s v=""/>
    <s v=""/>
    <s v=""/>
    <s v=""/>
    <s v=""/>
    <s v=""/>
    <s v=""/>
    <s v=""/>
    <s v=""/>
    <s v=""/>
    <s v=""/>
    <s v=""/>
    <s v=""/>
    <s v=""/>
    <s v="371616Newsletter Recipient"/>
    <m/>
    <x v="0"/>
  </r>
  <r>
    <n v="37778984"/>
    <b v="0"/>
    <b v="0"/>
    <b v="0"/>
    <b v="1"/>
    <b v="0"/>
    <b v="1"/>
    <b v="1"/>
    <b v="0"/>
    <b v="0"/>
    <n v="0"/>
    <n v="0"/>
    <m/>
    <d v="2017-02-24T00:00:00"/>
    <n v="32127162"/>
    <d v="2017-02-20T00:00:00"/>
    <m/>
    <m/>
    <s v=""/>
    <b v="0"/>
    <m/>
    <m/>
    <d v="2017-02-20T00:00:00"/>
    <m/>
    <n v="791522"/>
    <b v="1"/>
    <m/>
    <m/>
    <m/>
    <x v="0"/>
    <b v="1"/>
    <n v="37778984"/>
    <s v="LaToya"/>
    <s v="Greenwood"/>
    <s v="Illinois General Assembly"/>
    <s v=""/>
    <s v="Representative LaToya Greenwood (D)_x000a_114th District_x0009_ _x0009__x000a__x000a_Springfield Office:_x000a_265-S Stratton Office Building_x000a_Springfield, IL   62706_x000a_(217) 782-5951_x000a__x000a_District Office:_x000a_4700 State Street_x000a_Suite 2_x000a_East St. Louis, IL  62205_x000a_(618) 646-9557_x000a_(618) 646-9558 FAX"/>
    <s v="staterepgreenwood@gmail.com"/>
    <s v=""/>
    <s v=""/>
    <s v=""/>
    <s v=""/>
    <s v=""/>
    <s v=""/>
    <s v=""/>
    <s v=""/>
    <s v=""/>
    <s v=""/>
    <s v=""/>
    <s v=""/>
    <s v=""/>
    <s v=""/>
    <s v=""/>
    <s v=""/>
    <s v="371616Newsletter Recipient, 371627House of Representatives"/>
    <m/>
    <x v="0"/>
  </r>
  <r>
    <n v="34021545"/>
    <b v="0"/>
    <b v="0"/>
    <b v="0"/>
    <b v="1"/>
    <b v="0"/>
    <b v="1"/>
    <b v="1"/>
    <b v="0"/>
    <b v="0"/>
    <n v="0"/>
    <n v="0"/>
    <m/>
    <d v="2018-01-12T00:00:00"/>
    <n v="32127162"/>
    <d v="2016-08-22T00:00:00"/>
    <m/>
    <m/>
    <s v=""/>
    <b v="0"/>
    <m/>
    <m/>
    <d v="2016-08-22T00:00:00"/>
    <m/>
    <n v="791522"/>
    <b v="1"/>
    <m/>
    <m/>
    <m/>
    <x v="0"/>
    <b v="1"/>
    <n v="34021545"/>
    <s v="Bryant"/>
    <s v="Grimes"/>
    <s v="Community Care Alliance of Illinois (CCAI)"/>
    <s v=""/>
    <s v=""/>
    <s v="BGrimes@myfhn.com"/>
    <s v="312-880-1634"/>
    <s v=""/>
    <s v=""/>
    <s v=""/>
    <s v=""/>
    <s v=""/>
    <s v=""/>
    <s v=""/>
    <s v=""/>
    <s v=""/>
    <s v=""/>
    <s v=""/>
    <s v=""/>
    <s v=""/>
    <s v=""/>
    <s v=""/>
    <m/>
    <m/>
    <x v="0"/>
  </r>
  <r>
    <n v="37822612"/>
    <b v="0"/>
    <b v="0"/>
    <b v="0"/>
    <b v="1"/>
    <b v="0"/>
    <b v="1"/>
    <b v="1"/>
    <b v="0"/>
    <b v="0"/>
    <n v="0"/>
    <n v="0"/>
    <m/>
    <d v="2017-02-24T00:00:00"/>
    <n v="32127162"/>
    <d v="2017-02-24T00:00:00"/>
    <m/>
    <m/>
    <s v=""/>
    <b v="0"/>
    <m/>
    <m/>
    <d v="2017-02-24T00:00:00"/>
    <m/>
    <n v="791522"/>
    <b v="1"/>
    <m/>
    <m/>
    <m/>
    <x v="0"/>
    <b v="1"/>
    <n v="37822612"/>
    <s v="Jan"/>
    <s v="Grimes"/>
    <s v="Illinois Homecare and Hospice Council"/>
    <s v=""/>
    <s v=""/>
    <s v="jangrimes@ilhomecare.org"/>
    <s v="217/753-4422"/>
    <s v=""/>
    <s v=""/>
    <s v=""/>
    <s v=""/>
    <s v=""/>
    <s v=""/>
    <s v=""/>
    <s v=""/>
    <s v=""/>
    <s v=""/>
    <s v=""/>
    <s v=""/>
    <s v=""/>
    <s v=""/>
    <s v=""/>
    <s v="371616Newsletter Recipient"/>
    <m/>
    <x v="0"/>
  </r>
  <r>
    <n v="44047478"/>
    <b v="0"/>
    <b v="0"/>
    <b v="0"/>
    <b v="1"/>
    <b v="0"/>
    <b v="1"/>
    <b v="1"/>
    <b v="0"/>
    <b v="0"/>
    <n v="0"/>
    <n v="0"/>
    <m/>
    <d v="2018-03-02T00:00:00"/>
    <n v="32127162"/>
    <d v="2018-03-02T00:00:00"/>
    <m/>
    <m/>
    <s v=""/>
    <b v="0"/>
    <m/>
    <m/>
    <d v="2018-03-02T00:00:00"/>
    <m/>
    <n v="791522"/>
    <b v="1"/>
    <m/>
    <d v="2018-03-02T00:00:00"/>
    <m/>
    <x v="0"/>
    <b v="1"/>
    <n v="44047478"/>
    <s v="Belinda"/>
    <s v="Gunning"/>
    <s v="Behavioral Health Alternatives"/>
    <s v=""/>
    <s v=""/>
    <s v="bgunning@bha-inc.org"/>
    <s v=""/>
    <s v=""/>
    <s v=""/>
    <s v=""/>
    <s v=""/>
    <s v=""/>
    <s v=""/>
    <s v=""/>
    <s v=""/>
    <s v=""/>
    <s v=""/>
    <s v=""/>
    <s v=""/>
    <s v=""/>
    <s v=""/>
    <s v=""/>
    <s v="371616Newsletter Recipient"/>
    <m/>
    <x v="0"/>
  </r>
  <r>
    <n v="34021523"/>
    <b v="0"/>
    <b v="0"/>
    <b v="0"/>
    <b v="1"/>
    <b v="0"/>
    <b v="1"/>
    <b v="1"/>
    <b v="0"/>
    <b v="0"/>
    <n v="0"/>
    <n v="0"/>
    <m/>
    <d v="2018-01-12T00:00:00"/>
    <n v="32127162"/>
    <d v="2016-08-22T00:00:00"/>
    <m/>
    <m/>
    <s v=""/>
    <b v="0"/>
    <m/>
    <m/>
    <d v="2016-08-22T00:00:00"/>
    <m/>
    <n v="791522"/>
    <b v="1"/>
    <m/>
    <m/>
    <m/>
    <x v="0"/>
    <b v="1"/>
    <n v="34021523"/>
    <s v="Anthony"/>
    <s v="Gutierrez"/>
    <s v="Community Care Alliance of Illinois (CCAI)"/>
    <s v=""/>
    <s v=""/>
    <s v="AGutierrez@ccaillinois.com"/>
    <s v="312-880-1693"/>
    <s v=""/>
    <s v=""/>
    <s v=""/>
    <s v=""/>
    <s v=""/>
    <s v=""/>
    <s v=""/>
    <s v=""/>
    <s v=""/>
    <s v=""/>
    <s v=""/>
    <s v=""/>
    <s v=""/>
    <s v=""/>
    <s v=""/>
    <m/>
    <m/>
    <x v="0"/>
  </r>
  <r>
    <n v="37778994"/>
    <b v="0"/>
    <b v="0"/>
    <b v="0"/>
    <b v="1"/>
    <b v="0"/>
    <b v="1"/>
    <b v="1"/>
    <b v="0"/>
    <b v="0"/>
    <n v="0"/>
    <n v="0"/>
    <m/>
    <d v="2017-02-24T00:00:00"/>
    <n v="32127162"/>
    <d v="2017-02-20T00:00:00"/>
    <m/>
    <m/>
    <s v=""/>
    <b v="0"/>
    <m/>
    <m/>
    <d v="2017-02-20T00:00:00"/>
    <m/>
    <n v="791522"/>
    <b v="1"/>
    <m/>
    <m/>
    <m/>
    <x v="0"/>
    <b v="1"/>
    <n v="37778994"/>
    <s v="Will"/>
    <s v="Guzzardi"/>
    <s v="Illinois General Assembly"/>
    <s v=""/>
    <s v="Representative Will Guzzardi (D)_x000a_39th District _x0009__x000a__x000a_Springfield Office:_x000a_284-S Stratton Office Building_x000a_Springfield, IL   62706_x000a_(217) 558-1032_x000a__x000a_District Office:_x000a_2710 N Sawyer Ave._x000a_Chicago, IL  60647_x000a_(773) 227-9720_x000a_Email:"/>
    <s v="will@repguzzardi.com"/>
    <s v=""/>
    <s v=""/>
    <s v=""/>
    <s v=""/>
    <s v=""/>
    <s v=""/>
    <s v=""/>
    <s v=""/>
    <s v=""/>
    <s v=""/>
    <s v=""/>
    <s v=""/>
    <s v=""/>
    <s v=""/>
    <s v=""/>
    <s v=""/>
    <s v="371616Newsletter Recipient, 371627House of Representatives"/>
    <m/>
    <x v="0"/>
  </r>
  <r>
    <n v="46434285"/>
    <b v="0"/>
    <b v="0"/>
    <b v="0"/>
    <b v="1"/>
    <b v="0"/>
    <b v="1"/>
    <b v="1"/>
    <b v="0"/>
    <b v="0"/>
    <n v="0"/>
    <n v="0"/>
    <m/>
    <d v="2018-06-21T00:00:00"/>
    <n v="32127162"/>
    <d v="2018-06-21T00:00:00"/>
    <m/>
    <m/>
    <s v=""/>
    <b v="0"/>
    <m/>
    <m/>
    <d v="2018-06-21T00:00:00"/>
    <m/>
    <n v="791522"/>
    <b v="1"/>
    <m/>
    <d v="2018-06-21T00:00:00"/>
    <m/>
    <x v="0"/>
    <b v="1"/>
    <n v="46434285"/>
    <s v="Elaine"/>
    <s v="Hadley"/>
    <s v="Magner"/>
    <s v=""/>
    <s v=""/>
    <s v="ehadley@sihf.org"/>
    <s v=""/>
    <s v=""/>
    <s v=""/>
    <s v=""/>
    <s v=""/>
    <s v=""/>
    <s v=""/>
    <s v="Magner"/>
    <s v=""/>
    <s v=""/>
    <s v=""/>
    <s v=""/>
    <s v=""/>
    <s v=""/>
    <s v=""/>
    <s v=""/>
    <s v="371616Newsletter Recipient"/>
    <m/>
    <x v="0"/>
  </r>
  <r>
    <n v="37819597"/>
    <b v="0"/>
    <b v="0"/>
    <b v="0"/>
    <b v="1"/>
    <b v="0"/>
    <b v="1"/>
    <b v="1"/>
    <b v="0"/>
    <b v="0"/>
    <n v="0"/>
    <n v="0"/>
    <m/>
    <d v="2018-05-29T00:00:00"/>
    <n v="32127162"/>
    <d v="2017-02-24T00:00:00"/>
    <m/>
    <m/>
    <s v=""/>
    <b v="0"/>
    <m/>
    <m/>
    <d v="2017-02-24T00:00:00"/>
    <m/>
    <n v="791522"/>
    <b v="1"/>
    <m/>
    <m/>
    <m/>
    <x v="0"/>
    <b v="1"/>
    <n v="37819597"/>
    <s v="Angela"/>
    <s v="Haggard"/>
    <s v="IlliniCare Health"/>
    <s v=""/>
    <s v=""/>
    <s v="anhaggard@illinicare.com"/>
    <s v=""/>
    <s v=""/>
    <s v=""/>
    <s v=""/>
    <s v=""/>
    <s v=""/>
    <s v=""/>
    <s v=""/>
    <s v="Vice President, Product Development"/>
    <s v=""/>
    <s v=""/>
    <s v=""/>
    <s v=""/>
    <s v=""/>
    <s v=""/>
    <s v=""/>
    <s v="335743Chief Operating Officer, 335746Encounters Expert, 371616Newsletter Recipient, 372294Finance Committee, 372295Board of Directors/General Distribution List, 372297Operations Committee, 372298Operations Transportation Subcommittee, 447857HFS Ops Workgroup"/>
    <m/>
    <x v="0"/>
  </r>
  <r>
    <n v="37770471"/>
    <b v="0"/>
    <b v="0"/>
    <b v="0"/>
    <b v="1"/>
    <b v="0"/>
    <b v="1"/>
    <b v="1"/>
    <b v="0"/>
    <b v="0"/>
    <n v="0"/>
    <n v="0"/>
    <m/>
    <d v="2017-02-24T00:00:00"/>
    <n v="32127162"/>
    <d v="2017-02-20T00:00:00"/>
    <m/>
    <m/>
    <s v=""/>
    <b v="0"/>
    <m/>
    <m/>
    <d v="2017-02-20T00:00:00"/>
    <m/>
    <n v="791522"/>
    <b v="1"/>
    <m/>
    <m/>
    <m/>
    <x v="0"/>
    <b v="1"/>
    <n v="37770471"/>
    <s v="William"/>
    <s v="Haine"/>
    <s v="Illinois General Assembly"/>
    <s v="Senator"/>
    <s v="Senator William R. Haine (D)_x000a_56th District_x000a_Assistant Majority Leader_x0009_ _x0009__x000a__x000a_Springfield Office:_x000a_Senator 56th District_x000a_311C Capitol Building_x000a_Springfield, IL   62706_x000a_(217) 782-5247_x000a_(217) 782-8287 FAX_x000a_ _x000a_District Office:_x000a_307 Henry Street_x000a_Suite 210_x000a_Alton, IL  62002_x000a_(618) 465-4764_x000a_(618) 465-4816 FAX"/>
    <s v=""/>
    <s v=""/>
    <s v="R."/>
    <s v=""/>
    <s v=""/>
    <s v=""/>
    <s v="(217) 782-5247"/>
    <s v=""/>
    <s v=""/>
    <s v=""/>
    <s v=""/>
    <s v=""/>
    <s v=""/>
    <s v=""/>
    <s v=""/>
    <s v=""/>
    <s v=""/>
    <s v="371609Senator, 371616Newsletter Recipient"/>
    <m/>
    <x v="0"/>
  </r>
  <r>
    <n v="37778998"/>
    <b v="0"/>
    <b v="0"/>
    <b v="0"/>
    <b v="1"/>
    <b v="0"/>
    <b v="1"/>
    <b v="1"/>
    <b v="0"/>
    <b v="0"/>
    <n v="0"/>
    <n v="0"/>
    <m/>
    <d v="2017-02-20T00:00:00"/>
    <n v="32127162"/>
    <d v="2017-02-20T00:00:00"/>
    <m/>
    <m/>
    <s v=""/>
    <b v="0"/>
    <m/>
    <m/>
    <d v="2017-02-20T00:00:00"/>
    <m/>
    <n v="791522"/>
    <b v="1"/>
    <m/>
    <m/>
    <m/>
    <x v="0"/>
    <b v="1"/>
    <n v="37778998"/>
    <s v="Brad"/>
    <s v="Halbrook"/>
    <s v="Illinois General Assembly"/>
    <s v=""/>
    <s v="Representative Brad Halbrook (R)_x000a_102nd District _x0009__x000a__x000a_Springfield Office:_x000a_204-N Stratton Office Building_x000a_Springfield, IL   62706_x000a_(217) 782-8398_x000a__x000a_District Office:_x000a_203 N. Cedar Street_x000a_Shelbyville, IL  62565_x000a_(217) 774-1306_x000a__x000a_510 S. Staley_x000a_Suite D_x000a_Champaign, IL 61822_x000a_(217) 607-1853"/>
    <s v=""/>
    <s v=""/>
    <s v=""/>
    <s v=""/>
    <s v=""/>
    <s v=""/>
    <s v=""/>
    <s v=""/>
    <s v=""/>
    <s v=""/>
    <s v=""/>
    <s v=""/>
    <s v=""/>
    <s v=""/>
    <s v=""/>
    <s v=""/>
    <s v=""/>
    <s v="371616Newsletter Recipient, 371627House of Representatives"/>
    <m/>
    <x v="0"/>
  </r>
  <r>
    <n v="42678213"/>
    <b v="0"/>
    <b v="0"/>
    <b v="0"/>
    <b v="1"/>
    <b v="0"/>
    <b v="1"/>
    <b v="1"/>
    <b v="0"/>
    <b v="0"/>
    <n v="0"/>
    <n v="0"/>
    <m/>
    <d v="2018-02-12T00:00:00"/>
    <n v="32127162"/>
    <d v="2017-11-17T00:00:00"/>
    <m/>
    <m/>
    <s v=""/>
    <b v="0"/>
    <m/>
    <m/>
    <d v="2017-11-17T00:00:00"/>
    <m/>
    <n v="791522"/>
    <b v="1"/>
    <m/>
    <d v="2017-11-17T00:00:00"/>
    <m/>
    <x v="0"/>
    <b v="1"/>
    <n v="42678213"/>
    <s v="Jonna"/>
    <s v="Hale"/>
    <s v="Harrisburg Medical Center"/>
    <s v=""/>
    <s v=""/>
    <s v="jhale@harrisburgmc.com"/>
    <s v=""/>
    <s v=""/>
    <s v=""/>
    <s v=""/>
    <s v=""/>
    <s v=""/>
    <s v=""/>
    <s v="Harrisburg Medical Center"/>
    <s v=""/>
    <s v=""/>
    <s v=""/>
    <s v=""/>
    <s v=""/>
    <s v=""/>
    <s v=""/>
    <s v=""/>
    <s v="371616Newsletter Recipient"/>
    <m/>
    <x v="0"/>
  </r>
  <r>
    <n v="42677558"/>
    <b v="0"/>
    <b v="0"/>
    <b v="1"/>
    <b v="1"/>
    <b v="0"/>
    <b v="1"/>
    <b v="1"/>
    <b v="0"/>
    <b v="0"/>
    <n v="0"/>
    <n v="0"/>
    <m/>
    <d v="2017-12-04T00:00:00"/>
    <n v="32127162"/>
    <d v="2017-11-17T00:00:00"/>
    <d v="2017-11-17T00:00:00"/>
    <m/>
    <s v=""/>
    <b v="0"/>
    <m/>
    <m/>
    <d v="2017-12-04T00:00:00"/>
    <m/>
    <n v="791522"/>
    <b v="1"/>
    <m/>
    <d v="2017-12-04T00:00:00"/>
    <m/>
    <x v="0"/>
    <b v="1"/>
    <n v="42677558"/>
    <s v="Joanie"/>
    <s v="Hall"/>
    <s v="Madison County Health Department"/>
    <s v="Billing Coordinator"/>
    <s v=""/>
    <s v="jlhall@co.madison.il.us"/>
    <s v="6182966067"/>
    <s v=""/>
    <s v=""/>
    <s v="jlhall@co.madison.il.us"/>
    <s v=""/>
    <s v="6182966067"/>
    <s v=""/>
    <s v=""/>
    <s v=""/>
    <s v=""/>
    <s v=""/>
    <s v=""/>
    <s v=""/>
    <s v=""/>
    <s v=""/>
    <s v=""/>
    <s v="371616Newsletter Recipient"/>
    <m/>
    <x v="0"/>
  </r>
  <r>
    <n v="42678184"/>
    <b v="0"/>
    <b v="0"/>
    <b v="0"/>
    <b v="1"/>
    <b v="0"/>
    <b v="1"/>
    <b v="1"/>
    <b v="0"/>
    <b v="0"/>
    <n v="0"/>
    <n v="0"/>
    <m/>
    <d v="2017-11-17T00:00:00"/>
    <n v="32127162"/>
    <d v="2017-11-17T00:00:00"/>
    <m/>
    <m/>
    <s v=""/>
    <b v="0"/>
    <m/>
    <m/>
    <d v="2017-11-17T00:00:00"/>
    <m/>
    <n v="791522"/>
    <b v="1"/>
    <m/>
    <d v="2017-11-17T00:00:00"/>
    <m/>
    <x v="0"/>
    <b v="1"/>
    <n v="42678184"/>
    <s v="Rose"/>
    <s v="Hall"/>
    <s v="Harrisburg Medical Center"/>
    <s v=""/>
    <s v=""/>
    <s v="rhall@harrisburg.com"/>
    <s v=""/>
    <s v=""/>
    <s v=""/>
    <s v=""/>
    <s v=""/>
    <s v=""/>
    <s v=""/>
    <s v="Harrisburg Medical Center"/>
    <s v=""/>
    <s v=""/>
    <s v=""/>
    <s v=""/>
    <s v=""/>
    <s v=""/>
    <s v=""/>
    <s v=""/>
    <s v="371616Newsletter Recipient"/>
    <m/>
    <x v="0"/>
  </r>
  <r>
    <n v="39288430"/>
    <b v="0"/>
    <b v="0"/>
    <b v="0"/>
    <b v="1"/>
    <b v="0"/>
    <b v="1"/>
    <b v="1"/>
    <b v="0"/>
    <b v="0"/>
    <n v="0"/>
    <n v="0"/>
    <m/>
    <d v="2018-02-06T00:00:00"/>
    <n v="32127162"/>
    <d v="2017-06-12T00:00:00"/>
    <m/>
    <m/>
    <s v=""/>
    <b v="0"/>
    <m/>
    <m/>
    <d v="2017-06-12T00:00:00"/>
    <m/>
    <n v="791522"/>
    <b v="1"/>
    <m/>
    <m/>
    <m/>
    <x v="0"/>
    <b v="1"/>
    <n v="39288430"/>
    <s v="Joshua"/>
    <s v="Halperin"/>
    <s v="MeridianRx"/>
    <s v=""/>
    <s v=""/>
    <s v="joshua.halperin@meridianrx.com"/>
    <s v=""/>
    <s v="I."/>
    <s v=""/>
    <s v=""/>
    <s v="313-600-6191"/>
    <s v="313-324-3800 x21629"/>
    <s v="313-309-8596"/>
    <s v="MeridianRx"/>
    <s v="Director of Regulatory Operations (Illinois)"/>
    <s v=""/>
    <s v=""/>
    <s v=""/>
    <s v=""/>
    <s v=""/>
    <s v=""/>
    <s v=""/>
    <s v="371616Newsletter Recipient, 372314Pharmacy Director, 428788Pharmacy Director Committee"/>
    <m/>
    <x v="0"/>
  </r>
  <r>
    <n v="37779005"/>
    <b v="0"/>
    <b v="0"/>
    <b v="0"/>
    <b v="1"/>
    <b v="0"/>
    <b v="1"/>
    <b v="1"/>
    <b v="0"/>
    <b v="0"/>
    <n v="0"/>
    <n v="0"/>
    <m/>
    <d v="2017-02-24T00:00:00"/>
    <n v="32127162"/>
    <d v="2017-02-20T00:00:00"/>
    <m/>
    <m/>
    <s v=""/>
    <b v="0"/>
    <m/>
    <m/>
    <d v="2017-02-20T00:00:00"/>
    <m/>
    <n v="791522"/>
    <b v="1"/>
    <m/>
    <m/>
    <m/>
    <x v="0"/>
    <b v="1"/>
    <n v="37779005"/>
    <s v="Michael"/>
    <s v="Halpin"/>
    <s v="Illinois General Assembly"/>
    <s v=""/>
    <s v="Representative Michael Halpin (D)_x000a_72nd District_x0009_ _x0009__x000a__x000a_Springfield Office:_x000a_242A-W Stratton Office Building_x000a_Springfield, IL   62706_x000a_(217) 782-5970_x000a__x000a_District Office:_x000a_1504 3rd Ave., 2nd Floor_x000a_County Office Bldg._x000a_Rock Island, IL  61201_x000a_(309) 558-3612_x000a_(309) 793-4764 FAX"/>
    <s v="RepHalpin@gmail.com"/>
    <s v=""/>
    <s v=""/>
    <s v=""/>
    <s v=""/>
    <s v=""/>
    <s v=""/>
    <s v=""/>
    <s v=""/>
    <s v=""/>
    <s v=""/>
    <s v=""/>
    <s v=""/>
    <s v=""/>
    <s v=""/>
    <s v=""/>
    <s v=""/>
    <s v="371616Newsletter Recipient, 371627House of Representatives"/>
    <m/>
    <x v="0"/>
  </r>
  <r>
    <n v="46241801"/>
    <b v="0"/>
    <b v="0"/>
    <b v="0"/>
    <b v="1"/>
    <b v="0"/>
    <b v="1"/>
    <b v="1"/>
    <b v="0"/>
    <b v="0"/>
    <n v="0"/>
    <n v="0"/>
    <m/>
    <d v="2018-06-14T00:00:00"/>
    <n v="32127162"/>
    <d v="2018-06-14T00:00:00"/>
    <m/>
    <m/>
    <s v=""/>
    <b v="0"/>
    <m/>
    <m/>
    <d v="2018-06-14T00:00:00"/>
    <m/>
    <n v="791522"/>
    <b v="1"/>
    <m/>
    <d v="2018-06-14T00:00:00"/>
    <m/>
    <x v="0"/>
    <b v="1"/>
    <n v="46241801"/>
    <s v="Noel"/>
    <s v="Halpin"/>
    <s v="Humana"/>
    <s v=""/>
    <s v=""/>
    <s v="nhalpin@humana.com"/>
    <s v="502-580-9931"/>
    <s v=""/>
    <s v=""/>
    <s v=""/>
    <s v=""/>
    <s v=""/>
    <s v=""/>
    <s v="Humana"/>
    <s v=""/>
    <s v=""/>
    <s v=""/>
    <s v=""/>
    <s v=""/>
    <s v=""/>
    <s v=""/>
    <s v=""/>
    <s v="371616Newsletter Recipient, 441580Compliance Committee"/>
    <m/>
    <x v="0"/>
  </r>
  <r>
    <n v="46436602"/>
    <b v="0"/>
    <b v="0"/>
    <b v="0"/>
    <b v="1"/>
    <b v="0"/>
    <b v="1"/>
    <b v="1"/>
    <b v="0"/>
    <b v="0"/>
    <n v="0"/>
    <n v="0"/>
    <m/>
    <d v="2018-06-21T00:00:00"/>
    <n v="32127162"/>
    <d v="2018-06-21T00:00:00"/>
    <m/>
    <m/>
    <s v=""/>
    <b v="0"/>
    <m/>
    <m/>
    <d v="2018-06-21T00:00:00"/>
    <m/>
    <n v="791522"/>
    <b v="1"/>
    <m/>
    <d v="2018-06-21T00:00:00"/>
    <m/>
    <x v="0"/>
    <b v="1"/>
    <n v="46436602"/>
    <s v="Janet"/>
    <s v="Hamblin"/>
    <s v="Health Services Advisory Group (HSAG)"/>
    <s v=""/>
    <s v=""/>
    <s v="jhamblin@hsag.com"/>
    <s v=""/>
    <s v=""/>
    <s v=""/>
    <s v=""/>
    <s v=""/>
    <s v=""/>
    <s v=""/>
    <s v="Health Services Advisory Group (HSAG)"/>
    <s v=""/>
    <s v=""/>
    <s v=""/>
    <s v=""/>
    <s v=""/>
    <s v=""/>
    <s v=""/>
    <s v=""/>
    <s v="371616Newsletter Recipient"/>
    <m/>
    <x v="0"/>
  </r>
  <r>
    <n v="43339869"/>
    <b v="0"/>
    <b v="0"/>
    <b v="0"/>
    <b v="1"/>
    <b v="0"/>
    <b v="1"/>
    <b v="1"/>
    <b v="0"/>
    <b v="0"/>
    <n v="0"/>
    <n v="0"/>
    <m/>
    <d v="2018-06-22T00:00:00"/>
    <n v="32127162"/>
    <d v="2018-01-18T00:00:00"/>
    <m/>
    <m/>
    <s v=""/>
    <b v="0"/>
    <m/>
    <m/>
    <d v="2018-01-18T00:00:00"/>
    <m/>
    <n v="791522"/>
    <b v="1"/>
    <m/>
    <d v="2018-01-18T00:00:00"/>
    <m/>
    <x v="0"/>
    <b v="1"/>
    <n v="43339869"/>
    <s v="Vatisha"/>
    <s v="Hammick"/>
    <s v="NextLevel Health"/>
    <s v=""/>
    <s v=""/>
    <s v="Vatisha.hammick@nlhpartners.com"/>
    <s v=""/>
    <s v=""/>
    <s v=""/>
    <s v=""/>
    <s v=""/>
    <s v=""/>
    <s v=""/>
    <s v=""/>
    <s v="NLH Claims Manager"/>
    <s v=""/>
    <s v=""/>
    <s v=""/>
    <s v=""/>
    <s v=""/>
    <s v=""/>
    <s v=""/>
    <s v="371616Newsletter Recipient, 372297Operations Committee, 447857HFS Ops Workgroup"/>
    <m/>
    <x v="0"/>
  </r>
  <r>
    <n v="37779008"/>
    <b v="0"/>
    <b v="0"/>
    <b v="0"/>
    <b v="1"/>
    <b v="0"/>
    <b v="1"/>
    <b v="1"/>
    <b v="0"/>
    <b v="0"/>
    <n v="0"/>
    <n v="0"/>
    <m/>
    <d v="2017-02-24T00:00:00"/>
    <n v="32127162"/>
    <d v="2017-02-20T00:00:00"/>
    <m/>
    <m/>
    <s v=""/>
    <b v="0"/>
    <m/>
    <m/>
    <d v="2017-02-20T00:00:00"/>
    <m/>
    <n v="791522"/>
    <b v="1"/>
    <m/>
    <m/>
    <m/>
    <x v="0"/>
    <b v="1"/>
    <n v="37779008"/>
    <s v="Norine"/>
    <s v="Hammond"/>
    <s v="Illinois General Assembly"/>
    <s v=""/>
    <s v="Representative Norine K. Hammond (R)_x000a_93rd District_x000a_Assistant Republican Leader _x0009__x000a__x000a_Springfield Office:_x000a_203-N Stratton Office Building_x000a_Springfield, IL   62706_x000a_(217) 782-0416_x000a_(217) 557-4530 FAX_x000a__x000a_District Office:_x000a_331 N. Lafayette Street_x000a_P.O. Box 170_x000a_Macomb, IL  61455_x000a_(309) 836-2707_x000a_(309) 836-2231 FAX"/>
    <s v="rephammond@macomb.com"/>
    <s v=""/>
    <s v=""/>
    <s v=""/>
    <s v=""/>
    <s v=""/>
    <s v=""/>
    <s v=""/>
    <s v=""/>
    <s v=""/>
    <s v=""/>
    <s v=""/>
    <s v=""/>
    <s v=""/>
    <s v=""/>
    <s v=""/>
    <s v=""/>
    <s v="371616Newsletter Recipient, 371627House of Representatives"/>
    <m/>
    <x v="0"/>
  </r>
  <r>
    <n v="42744903"/>
    <b v="0"/>
    <b v="0"/>
    <b v="1"/>
    <b v="1"/>
    <b v="0"/>
    <b v="1"/>
    <b v="1"/>
    <b v="0"/>
    <b v="0"/>
    <n v="0"/>
    <n v="0"/>
    <m/>
    <d v="2017-11-29T00:00:00"/>
    <n v="32127162"/>
    <d v="2017-11-27T00:00:00"/>
    <m/>
    <m/>
    <s v=""/>
    <b v="0"/>
    <m/>
    <m/>
    <d v="2017-11-29T00:00:00"/>
    <m/>
    <n v="791522"/>
    <b v="1"/>
    <m/>
    <d v="2017-11-29T00:00:00"/>
    <m/>
    <x v="0"/>
    <b v="1"/>
    <n v="42744903"/>
    <s v="Angie"/>
    <s v="Hampton"/>
    <s v="Egyptian Health Department"/>
    <s v="Chief Executive Officer"/>
    <s v=""/>
    <s v="ahampton@egyptian.org"/>
    <s v="618-273-3326 ext. 2119"/>
    <s v=""/>
    <s v=""/>
    <s v=""/>
    <s v=""/>
    <s v=""/>
    <s v=""/>
    <s v=""/>
    <s v=""/>
    <s v=""/>
    <s v=""/>
    <s v=""/>
    <s v=""/>
    <s v=""/>
    <s v=""/>
    <s v=""/>
    <s v="371616Newsletter Recipient"/>
    <m/>
    <x v="0"/>
  </r>
  <r>
    <n v="42860046"/>
    <b v="0"/>
    <b v="0"/>
    <b v="0"/>
    <b v="1"/>
    <b v="0"/>
    <b v="1"/>
    <b v="1"/>
    <b v="0"/>
    <b v="0"/>
    <n v="0"/>
    <n v="0"/>
    <m/>
    <d v="2017-12-07T00:00:00"/>
    <n v="32127162"/>
    <d v="2017-12-07T00:00:00"/>
    <m/>
    <m/>
    <s v=""/>
    <b v="0"/>
    <m/>
    <m/>
    <d v="2017-12-07T00:00:00"/>
    <m/>
    <n v="791522"/>
    <b v="1"/>
    <m/>
    <d v="2017-12-07T00:00:00"/>
    <m/>
    <x v="0"/>
    <b v="1"/>
    <n v="42860046"/>
    <s v="Dionne"/>
    <s v="Haney"/>
    <s v="DentaQuest of Illinois LLC"/>
    <s v=""/>
    <s v=""/>
    <s v="dionne.haney@dentaquest.com"/>
    <s v=""/>
    <s v=""/>
    <s v=""/>
    <s v=""/>
    <s v=""/>
    <s v=""/>
    <s v=""/>
    <s v="DentaQuest of Illinois LLC"/>
    <s v=""/>
    <s v=""/>
    <s v=""/>
    <s v=""/>
    <s v=""/>
    <s v=""/>
    <s v=""/>
    <s v=""/>
    <s v="371616Newsletter Recipient"/>
    <m/>
    <x v="0"/>
  </r>
  <r>
    <n v="42678260"/>
    <b v="0"/>
    <b v="0"/>
    <b v="0"/>
    <b v="1"/>
    <b v="0"/>
    <b v="1"/>
    <b v="1"/>
    <b v="0"/>
    <b v="0"/>
    <n v="0"/>
    <n v="0"/>
    <m/>
    <d v="2018-02-12T00:00:00"/>
    <n v="32127162"/>
    <d v="2017-11-17T00:00:00"/>
    <m/>
    <m/>
    <s v=""/>
    <b v="0"/>
    <m/>
    <m/>
    <d v="2017-11-17T00:00:00"/>
    <m/>
    <n v="791522"/>
    <b v="1"/>
    <m/>
    <d v="2017-11-17T00:00:00"/>
    <m/>
    <x v="0"/>
    <b v="1"/>
    <n v="42678260"/>
    <s v="Ida"/>
    <s v="Haney"/>
    <s v="Harrisburg Medical Center"/>
    <s v=""/>
    <s v=""/>
    <s v="ihaney@harrisburgmc.com"/>
    <s v=""/>
    <s v=""/>
    <s v=""/>
    <s v=""/>
    <s v=""/>
    <s v=""/>
    <s v=""/>
    <s v="Harrisburg Medical Center"/>
    <s v=""/>
    <s v=""/>
    <s v=""/>
    <s v=""/>
    <s v=""/>
    <s v=""/>
    <s v=""/>
    <s v=""/>
    <s v="371616Newsletter Recipient"/>
    <m/>
    <x v="0"/>
  </r>
  <r>
    <n v="44047428"/>
    <b v="0"/>
    <b v="0"/>
    <b v="0"/>
    <b v="1"/>
    <b v="0"/>
    <b v="1"/>
    <b v="1"/>
    <b v="0"/>
    <b v="0"/>
    <n v="0"/>
    <n v="0"/>
    <m/>
    <d v="2018-03-02T00:00:00"/>
    <n v="32127162"/>
    <d v="2018-03-02T00:00:00"/>
    <m/>
    <m/>
    <s v=""/>
    <b v="0"/>
    <m/>
    <m/>
    <d v="2018-03-02T00:00:00"/>
    <m/>
    <n v="791522"/>
    <b v="1"/>
    <m/>
    <d v="2018-03-02T00:00:00"/>
    <m/>
    <x v="0"/>
    <b v="1"/>
    <n v="44047428"/>
    <s v="Cindy"/>
    <s v="Hanley"/>
    <s v="Cumberland Co Health Dept"/>
    <s v=""/>
    <s v=""/>
    <s v="cdh@cumberlandhealth.org"/>
    <s v=""/>
    <s v=""/>
    <s v=""/>
    <s v=""/>
    <s v=""/>
    <s v=""/>
    <s v=""/>
    <s v=""/>
    <s v=""/>
    <s v=""/>
    <s v=""/>
    <s v=""/>
    <s v=""/>
    <s v=""/>
    <s v=""/>
    <s v=""/>
    <s v="371616Newsletter Recipient"/>
    <m/>
    <x v="0"/>
  </r>
  <r>
    <n v="46020424"/>
    <b v="0"/>
    <b v="0"/>
    <b v="0"/>
    <b v="1"/>
    <b v="0"/>
    <b v="1"/>
    <b v="1"/>
    <b v="0"/>
    <b v="0"/>
    <n v="0"/>
    <n v="0"/>
    <m/>
    <m/>
    <m/>
    <d v="2018-06-06T00:00:00"/>
    <m/>
    <m/>
    <s v=""/>
    <b v="0"/>
    <m/>
    <m/>
    <d v="2018-06-06T00:00:00"/>
    <m/>
    <n v="791522"/>
    <b v="1"/>
    <m/>
    <d v="2018-06-06T00:00:00"/>
    <m/>
    <x v="0"/>
    <b v="1"/>
    <n v="46020424"/>
    <s v="Kate"/>
    <s v="Harbourn"/>
    <s v="Blue Cross Blue Shield of Illinois"/>
    <s v=""/>
    <s v=""/>
    <s v="kate_harbourn@bcbsil.com"/>
    <s v=""/>
    <s v=""/>
    <s v=""/>
    <s v=""/>
    <s v=""/>
    <s v=""/>
    <s v=""/>
    <s v="Blue Cross Blue Shield of Illinois"/>
    <s v=""/>
    <s v=""/>
    <s v=""/>
    <s v=""/>
    <s v=""/>
    <s v=""/>
    <s v=""/>
    <s v=""/>
    <s v="371616Newsletter Recipient, 372306Marketing Committee"/>
    <m/>
    <x v="0"/>
  </r>
  <r>
    <n v="37770476"/>
    <b v="0"/>
    <b v="0"/>
    <b v="0"/>
    <b v="1"/>
    <b v="0"/>
    <b v="1"/>
    <b v="1"/>
    <b v="0"/>
    <b v="0"/>
    <n v="0"/>
    <n v="0"/>
    <m/>
    <d v="2017-02-24T00:00:00"/>
    <n v="32127162"/>
    <d v="2017-02-20T00:00:00"/>
    <m/>
    <m/>
    <s v=""/>
    <b v="0"/>
    <m/>
    <m/>
    <d v="2017-02-20T00:00:00"/>
    <m/>
    <n v="791522"/>
    <b v="1"/>
    <m/>
    <m/>
    <m/>
    <x v="0"/>
    <b v="1"/>
    <n v="37770476"/>
    <s v="Don"/>
    <s v="Harmon"/>
    <s v="Illinois General Assembly"/>
    <s v=""/>
    <s v="Senator Don Harmon (D)_x000a_39th District_x000a_President Pro Tempore_x0009_ _x0009__x000a__x000a_Springfield Office:_x000a_Senator 39th District_x000a_329B Capitol Building_x000a_Springfield, IL   62706_x000a_(217) 782-8176_x000a_(217) 558-6013 FAX_x000a_ _x000a_District Office:_x000a_6941-B W. North Avenue_x000a_Oak Park, IL  60302_x000a_(708) 848-2002_x000a_(708) 848-2022 FAX"/>
    <s v=""/>
    <s v=""/>
    <s v=""/>
    <s v=""/>
    <s v=""/>
    <s v=""/>
    <s v="(217) 782-8176"/>
    <s v=""/>
    <s v=""/>
    <s v=""/>
    <s v=""/>
    <s v=""/>
    <s v=""/>
    <s v=""/>
    <s v=""/>
    <s v=""/>
    <s v=""/>
    <s v="371609Senator, 371616Newsletter Recipient"/>
    <m/>
    <x v="0"/>
  </r>
  <r>
    <n v="37779010"/>
    <b v="0"/>
    <b v="0"/>
    <b v="0"/>
    <b v="1"/>
    <b v="0"/>
    <b v="1"/>
    <b v="1"/>
    <b v="0"/>
    <b v="0"/>
    <n v="0"/>
    <n v="0"/>
    <m/>
    <d v="2017-02-24T00:00:00"/>
    <n v="32127162"/>
    <d v="2017-02-20T00:00:00"/>
    <m/>
    <m/>
    <s v=""/>
    <b v="0"/>
    <m/>
    <m/>
    <d v="2017-02-20T00:00:00"/>
    <m/>
    <n v="791522"/>
    <b v="1"/>
    <m/>
    <m/>
    <m/>
    <x v="0"/>
    <b v="1"/>
    <n v="37779010"/>
    <s v="Sonya"/>
    <s v="Harper"/>
    <s v="Illinois General Assembly"/>
    <s v=""/>
    <s v="Representative Sonya M. Harper (D)_x000a_6th District _x0009__x000a__x000a_Springfield Office:_x000a_276-S Stratton Office Building_x000a_Springfield, IL   62706_x000a_(217) 782-5971_x000a_(217) 558-6370 FAX_x000a__x000a_District Office:_x000a_4926 South Ashland_x000a_Chicago, IL  60609_x000a_(773) 925-6580_x000a_(773) 925-6584 FAX"/>
    <s v="repsonyaharper@gmail.com"/>
    <s v=""/>
    <s v=""/>
    <s v=""/>
    <s v=""/>
    <s v=""/>
    <s v=""/>
    <s v=""/>
    <s v=""/>
    <s v=""/>
    <s v=""/>
    <s v=""/>
    <s v=""/>
    <s v=""/>
    <s v=""/>
    <s v=""/>
    <s v=""/>
    <s v="371616Newsletter Recipient, 371627House of Representatives"/>
    <m/>
    <x v="0"/>
  </r>
  <r>
    <n v="34033666"/>
    <b v="0"/>
    <b v="0"/>
    <b v="0"/>
    <b v="1"/>
    <b v="0"/>
    <b v="1"/>
    <b v="1"/>
    <b v="0"/>
    <b v="0"/>
    <n v="0"/>
    <n v="0"/>
    <m/>
    <d v="2017-12-20T00:00:00"/>
    <n v="32127162"/>
    <d v="2016-08-23T00:00:00"/>
    <m/>
    <m/>
    <s v=""/>
    <b v="0"/>
    <m/>
    <m/>
    <d v="2016-08-23T00:00:00"/>
    <m/>
    <n v="791522"/>
    <b v="1"/>
    <m/>
    <m/>
    <m/>
    <x v="0"/>
    <b v="1"/>
    <n v="34033666"/>
    <s v="Harmony"/>
    <s v="Harrington"/>
    <s v="Humana"/>
    <s v=""/>
    <s v=""/>
    <s v="HHarrington2@humana.com"/>
    <s v="312-441-5338"/>
    <s v=""/>
    <s v=""/>
    <s v=""/>
    <s v=""/>
    <s v=""/>
    <s v=""/>
    <s v=""/>
    <s v=""/>
    <s v=""/>
    <s v=""/>
    <s v=""/>
    <s v=""/>
    <s v=""/>
    <s v=""/>
    <s v=""/>
    <s v="371616Newsletter Recipient, 372294Finance Committee, 372295Board of Directors/General Distribution List, 372296Legislative Committee, 420889Executive Committee"/>
    <m/>
    <x v="0"/>
  </r>
  <r>
    <n v="37779014"/>
    <b v="0"/>
    <b v="0"/>
    <b v="0"/>
    <b v="1"/>
    <b v="0"/>
    <b v="1"/>
    <b v="1"/>
    <b v="0"/>
    <b v="0"/>
    <n v="0"/>
    <n v="0"/>
    <m/>
    <d v="2017-02-24T00:00:00"/>
    <n v="32127162"/>
    <d v="2017-02-20T00:00:00"/>
    <m/>
    <m/>
    <s v=""/>
    <b v="0"/>
    <m/>
    <m/>
    <d v="2017-02-20T00:00:00"/>
    <m/>
    <n v="791522"/>
    <b v="1"/>
    <m/>
    <m/>
    <m/>
    <x v="0"/>
    <b v="1"/>
    <n v="37779014"/>
    <s v="David"/>
    <s v="Harris"/>
    <s v="Illinois General Assembly"/>
    <s v=""/>
    <s v="Representative David Harris (R)_x000a_53rd District _x0009__x000a__x000a_Springfield Office:_x000a_221-N Stratton Office Building_x000a_Springfield, IL   62706_x000a_(217) 782-3739_x000a_(217) 782-1141 FAX_x000a__x000a_District Office:_x000a_800 West Central Road_x000a_Suite 132_x000a_Mount Prospect, IL  60056_x000a_(224) 764-2440"/>
    <s v="repharris@yahoo.com"/>
    <s v=""/>
    <s v=""/>
    <s v=""/>
    <s v=""/>
    <s v=""/>
    <s v=""/>
    <s v=""/>
    <s v=""/>
    <s v=""/>
    <s v=""/>
    <s v=""/>
    <s v=""/>
    <s v=""/>
    <s v=""/>
    <s v=""/>
    <s v=""/>
    <s v="371616Newsletter Recipient, 371627House of Representatives"/>
    <m/>
    <x v="0"/>
  </r>
  <r>
    <n v="37779173"/>
    <b v="0"/>
    <b v="0"/>
    <b v="0"/>
    <b v="1"/>
    <b v="0"/>
    <b v="1"/>
    <b v="1"/>
    <b v="0"/>
    <b v="0"/>
    <n v="0"/>
    <n v="0"/>
    <m/>
    <d v="2017-02-24T00:00:00"/>
    <n v="32127162"/>
    <d v="2017-02-21T00:00:00"/>
    <m/>
    <m/>
    <s v=""/>
    <b v="0"/>
    <m/>
    <m/>
    <d v="2017-02-20T00:00:00"/>
    <m/>
    <n v="791522"/>
    <b v="1"/>
    <m/>
    <m/>
    <m/>
    <x v="0"/>
    <b v="1"/>
    <n v="37779173"/>
    <s v="Gregory"/>
    <s v="Harris"/>
    <s v="Illinois General Assembly"/>
    <s v=""/>
    <s v="Representative Gregory Harris (D)_x000a_13th District_x000a_Majority Conference Chairperson _x0009__x000a__x000a_Springfield Office:_x000a_253-S Stratton Office Building_x000a_Springfield, IL   62706_x000a_(217) 782-3835_x000a_(217) 557-6470 FAX_x000a__x000a_District Office:_x000a_1967 W. Montrose_x000a_Chicago, IL  60613_x000a_(773) 348-3434_x000a_(773) 348-3475 FAX"/>
    <s v="greg@gregharris.org"/>
    <s v=""/>
    <s v=""/>
    <s v=""/>
    <s v=""/>
    <s v=""/>
    <s v=""/>
    <s v=""/>
    <s v=""/>
    <s v=""/>
    <s v=""/>
    <s v=""/>
    <s v=""/>
    <s v=""/>
    <s v=""/>
    <s v=""/>
    <s v=""/>
    <s v="371616Newsletter Recipient, 371627House of Representatives"/>
    <m/>
    <x v="0"/>
  </r>
  <r>
    <n v="43748532"/>
    <b v="0"/>
    <b v="0"/>
    <b v="0"/>
    <b v="1"/>
    <b v="0"/>
    <b v="1"/>
    <b v="1"/>
    <b v="0"/>
    <b v="0"/>
    <n v="0"/>
    <n v="0"/>
    <m/>
    <d v="2018-02-13T00:00:00"/>
    <n v="32127162"/>
    <d v="2018-02-13T00:00:00"/>
    <m/>
    <m/>
    <s v=""/>
    <b v="0"/>
    <m/>
    <m/>
    <d v="2018-02-13T00:00:00"/>
    <m/>
    <n v="791522"/>
    <b v="1"/>
    <m/>
    <d v="2018-02-13T00:00:00"/>
    <m/>
    <x v="0"/>
    <b v="1"/>
    <n v="43748532"/>
    <s v="Juanita"/>
    <s v="Harris"/>
    <s v="Blue Cross Blue Shield of Illinois"/>
    <s v=""/>
    <s v=""/>
    <s v="juanita_harris@bcbsil.com"/>
    <s v=""/>
    <s v=""/>
    <s v=""/>
    <s v=""/>
    <s v=""/>
    <s v=""/>
    <s v=""/>
    <s v=""/>
    <s v=""/>
    <s v=""/>
    <s v=""/>
    <s v=""/>
    <s v=""/>
    <s v=""/>
    <s v=""/>
    <s v=""/>
    <s v="371616Newsletter Recipient"/>
    <m/>
    <x v="0"/>
  </r>
  <r>
    <n v="44047167"/>
    <b v="0"/>
    <b v="0"/>
    <b v="0"/>
    <b v="1"/>
    <b v="0"/>
    <b v="1"/>
    <b v="1"/>
    <b v="0"/>
    <b v="0"/>
    <n v="0"/>
    <n v="0"/>
    <m/>
    <d v="2018-03-02T00:00:00"/>
    <n v="32127162"/>
    <d v="2018-03-02T00:00:00"/>
    <m/>
    <m/>
    <s v=""/>
    <b v="0"/>
    <m/>
    <m/>
    <d v="2018-03-02T00:00:00"/>
    <m/>
    <n v="791522"/>
    <b v="1"/>
    <m/>
    <d v="2018-03-02T00:00:00"/>
    <m/>
    <x v="0"/>
    <b v="1"/>
    <n v="44047167"/>
    <s v="Stephen"/>
    <s v="Harris"/>
    <s v="Gardant"/>
    <s v=""/>
    <s v=""/>
    <s v="stephen.harris@gardant.com"/>
    <s v=""/>
    <s v=""/>
    <s v=""/>
    <s v=""/>
    <s v=""/>
    <s v=""/>
    <s v=""/>
    <s v=""/>
    <s v=""/>
    <s v=""/>
    <s v=""/>
    <s v=""/>
    <s v=""/>
    <s v=""/>
    <s v=""/>
    <s v=""/>
    <s v="371616Newsletter Recipient"/>
    <m/>
    <x v="0"/>
  </r>
  <r>
    <n v="44257490"/>
    <b v="0"/>
    <b v="0"/>
    <b v="0"/>
    <b v="1"/>
    <b v="0"/>
    <b v="1"/>
    <b v="1"/>
    <b v="0"/>
    <b v="0"/>
    <n v="0"/>
    <n v="0"/>
    <m/>
    <d v="2018-05-29T00:00:00"/>
    <n v="32127162"/>
    <d v="2018-03-16T00:00:00"/>
    <m/>
    <m/>
    <s v=""/>
    <b v="0"/>
    <m/>
    <m/>
    <d v="2018-03-16T00:00:00"/>
    <m/>
    <n v="791522"/>
    <b v="1"/>
    <m/>
    <d v="2018-03-16T00:00:00"/>
    <m/>
    <x v="0"/>
    <b v="1"/>
    <n v="44257490"/>
    <s v="Zack"/>
    <s v="Harris"/>
    <s v="IlliniCare Health"/>
    <s v=""/>
    <s v=""/>
    <s v="zachary.k.harris@illinicare.com"/>
    <s v=""/>
    <s v=""/>
    <s v=""/>
    <s v=""/>
    <s v=""/>
    <s v=""/>
    <s v=""/>
    <s v=""/>
    <s v=""/>
    <s v=""/>
    <s v=""/>
    <s v=""/>
    <s v=""/>
    <s v=""/>
    <s v=""/>
    <s v=""/>
    <s v="371616Newsletter Recipient, 372297Operations Committee, 447857HFS Ops Workgroup"/>
    <m/>
    <x v="0"/>
  </r>
  <r>
    <n v="37770554"/>
    <b v="0"/>
    <b v="0"/>
    <b v="0"/>
    <b v="1"/>
    <b v="0"/>
    <b v="1"/>
    <b v="1"/>
    <b v="0"/>
    <b v="0"/>
    <n v="0"/>
    <n v="0"/>
    <m/>
    <d v="2017-02-24T00:00:00"/>
    <n v="32127162"/>
    <d v="2017-02-20T00:00:00"/>
    <m/>
    <m/>
    <s v=""/>
    <b v="0"/>
    <m/>
    <m/>
    <d v="2017-02-20T00:00:00"/>
    <m/>
    <n v="791522"/>
    <b v="1"/>
    <m/>
    <m/>
    <m/>
    <x v="0"/>
    <b v="1"/>
    <n v="37770554"/>
    <s v="Napoleon"/>
    <s v="Harris, III"/>
    <s v="Illinois General Assembly"/>
    <s v=""/>
    <s v="Senator Napoleon Harris, III (D)_x000a_15th District _x0009__x000a__x000a_Springfield Office:_x000a_Senator 15th District_x000a_M122 Capitol Building_x000a_Springfield, IL   62706_x000a_(217) 782-8066_x000a_ _x000a_District Office:_x000a_369 E. 147th Street_x000a_Unit H_x000a_Harvey, IL  60426_x000a_(708) 893-0552_x000a_(708) 566-4108 FAX"/>
    <s v=""/>
    <s v=""/>
    <s v=""/>
    <s v=""/>
    <s v=""/>
    <s v=""/>
    <s v="(217) 782-8066"/>
    <s v=""/>
    <s v=""/>
    <s v=""/>
    <s v=""/>
    <s v=""/>
    <s v=""/>
    <s v=""/>
    <s v=""/>
    <s v=""/>
    <s v=""/>
    <s v="371609Senator, 371616Newsletter Recipient"/>
    <m/>
    <x v="0"/>
  </r>
  <r>
    <n v="37819606"/>
    <b v="0"/>
    <b v="0"/>
    <b v="1"/>
    <b v="1"/>
    <b v="0"/>
    <b v="1"/>
    <b v="1"/>
    <b v="0"/>
    <b v="0"/>
    <n v="0"/>
    <n v="0"/>
    <m/>
    <d v="2017-08-23T00:00:00"/>
    <n v="32090502"/>
    <d v="2017-02-24T00:00:00"/>
    <m/>
    <m/>
    <s v=""/>
    <b v="0"/>
    <m/>
    <m/>
    <d v="2017-02-24T00:00:00"/>
    <m/>
    <n v="791522"/>
    <b v="1"/>
    <m/>
    <m/>
    <m/>
    <x v="0"/>
    <b v="1"/>
    <n v="37819606"/>
    <s v="Glenn M."/>
    <s v="Harston II"/>
    <s v="The Gemini Group, LTD"/>
    <s v=""/>
    <s v=""/>
    <s v="glenn.harston@gemini-ii.com"/>
    <s v="312-583-9366"/>
    <s v=""/>
    <s v=""/>
    <s v=""/>
    <s v=""/>
    <s v=""/>
    <s v=""/>
    <s v=""/>
    <s v=""/>
    <s v=""/>
    <s v=""/>
    <s v="BEP"/>
    <s v="350 North Orleans Street - STE 9000N"/>
    <s v="Chicago"/>
    <s v="IL"/>
    <s v="60654"/>
    <s v="371616Newsletter Recipient, 372306Marketing Committee"/>
    <m/>
    <x v="0"/>
  </r>
  <r>
    <n v="43093843"/>
    <b v="0"/>
    <b v="0"/>
    <b v="0"/>
    <b v="1"/>
    <b v="0"/>
    <b v="1"/>
    <b v="1"/>
    <b v="0"/>
    <b v="0"/>
    <n v="0"/>
    <n v="0"/>
    <m/>
    <d v="2018-02-12T00:00:00"/>
    <n v="32127162"/>
    <d v="2018-01-02T00:00:00"/>
    <m/>
    <m/>
    <s v=""/>
    <b v="0"/>
    <m/>
    <m/>
    <d v="2018-01-02T00:00:00"/>
    <m/>
    <n v="791522"/>
    <b v="1"/>
    <m/>
    <d v="2018-01-02T00:00:00"/>
    <m/>
    <x v="0"/>
    <b v="1"/>
    <n v="43093843"/>
    <s v="Theresa"/>
    <s v="Hart"/>
    <s v="Illinois Cancer Specialists"/>
    <s v=""/>
    <s v=""/>
    <s v="theresa.hart@usoncology.com"/>
    <s v="847-585-7067"/>
    <s v=""/>
    <s v=""/>
    <s v=""/>
    <s v=""/>
    <s v=""/>
    <s v=""/>
    <s v=""/>
    <s v=""/>
    <s v=""/>
    <s v=""/>
    <s v=""/>
    <s v=""/>
    <s v=""/>
    <s v=""/>
    <s v=""/>
    <s v="371616Newsletter Recipient"/>
    <m/>
    <x v="0"/>
  </r>
  <r>
    <n v="37770564"/>
    <b v="0"/>
    <b v="0"/>
    <b v="0"/>
    <b v="1"/>
    <b v="0"/>
    <b v="1"/>
    <b v="1"/>
    <b v="0"/>
    <b v="0"/>
    <n v="0"/>
    <n v="0"/>
    <m/>
    <d v="2017-02-24T00:00:00"/>
    <n v="32127162"/>
    <d v="2017-02-20T00:00:00"/>
    <m/>
    <m/>
    <s v=""/>
    <b v="0"/>
    <m/>
    <m/>
    <d v="2017-02-20T00:00:00"/>
    <m/>
    <n v="791522"/>
    <b v="1"/>
    <m/>
    <m/>
    <m/>
    <x v="0"/>
    <b v="1"/>
    <n v="37770564"/>
    <s v="Michael"/>
    <s v="Hastings"/>
    <s v="Illinois General Assembly"/>
    <s v="Senator"/>
    <s v="Senator Michael E. Hastings (D)_x000a_19th District_x0009_ _x0009__x000a__x000a_Springfield Office:_x000a_Senator 19th District_x000a_118A Capitol Building_x000a_Springfield, IL   62706_x000a_(217) 782-9595_x000a_ _x000a_District Office:_x000a_20855 South LaGrange Road_x000a_Suite 102_x000a_Frankfort, IL  60423_x000a_(815) 464-5431_x000a__x000a_813 School Road_x000a_Matteson, IL 60443"/>
    <s v="mhastings53@hotmail.com"/>
    <s v=""/>
    <s v=""/>
    <s v=""/>
    <s v=""/>
    <s v=""/>
    <s v="(217) 782-9595"/>
    <s v=""/>
    <s v=""/>
    <s v=""/>
    <s v=""/>
    <s v=""/>
    <s v=""/>
    <s v=""/>
    <s v=""/>
    <s v=""/>
    <s v=""/>
    <s v="371609Senator, 371616Newsletter Recipient"/>
    <m/>
    <x v="0"/>
  </r>
  <r>
    <n v="37819607"/>
    <b v="0"/>
    <b v="0"/>
    <b v="0"/>
    <b v="1"/>
    <b v="0"/>
    <b v="1"/>
    <b v="1"/>
    <b v="0"/>
    <b v="0"/>
    <n v="0"/>
    <n v="0"/>
    <m/>
    <d v="2018-01-12T00:00:00"/>
    <n v="32127162"/>
    <d v="2017-02-24T00:00:00"/>
    <m/>
    <m/>
    <s v=""/>
    <b v="0"/>
    <m/>
    <m/>
    <d v="2017-02-24T00:00:00"/>
    <m/>
    <n v="791522"/>
    <b v="1"/>
    <m/>
    <m/>
    <m/>
    <x v="0"/>
    <b v="1"/>
    <n v="37819607"/>
    <s v="Robert"/>
    <s v="Hastings"/>
    <s v="Family Health Network"/>
    <s v=""/>
    <s v=""/>
    <s v="rhastings@myfhn.com"/>
    <s v=""/>
    <s v=""/>
    <s v=""/>
    <s v=""/>
    <s v=""/>
    <s v=""/>
    <s v=""/>
    <s v=""/>
    <s v=""/>
    <s v=""/>
    <s v=""/>
    <s v=""/>
    <s v=""/>
    <s v=""/>
    <s v=""/>
    <s v=""/>
    <m/>
    <m/>
    <x v="0"/>
  </r>
  <r>
    <n v="44249505"/>
    <b v="0"/>
    <b v="0"/>
    <b v="0"/>
    <b v="1"/>
    <b v="0"/>
    <b v="1"/>
    <b v="1"/>
    <b v="0"/>
    <b v="0"/>
    <n v="0"/>
    <n v="0"/>
    <m/>
    <d v="2018-05-02T00:00:00"/>
    <n v="32127162"/>
    <d v="2018-03-16T00:00:00"/>
    <m/>
    <m/>
    <s v=""/>
    <b v="0"/>
    <m/>
    <m/>
    <d v="2018-03-16T00:00:00"/>
    <m/>
    <n v="791522"/>
    <b v="1"/>
    <m/>
    <d v="2018-03-16T00:00:00"/>
    <m/>
    <x v="0"/>
    <b v="1"/>
    <n v="44249505"/>
    <s v="Sandra"/>
    <s v="Hattar"/>
    <s v="IlliniCare Health"/>
    <s v=""/>
    <s v=""/>
    <s v="sandra.hattar@illinicare.com"/>
    <s v=""/>
    <s v=""/>
    <s v=""/>
    <s v=""/>
    <s v=""/>
    <s v=""/>
    <s v=""/>
    <s v=""/>
    <s v=""/>
    <s v=""/>
    <s v=""/>
    <s v=""/>
    <s v=""/>
    <s v=""/>
    <s v=""/>
    <s v=""/>
    <s v="371616Newsletter Recipient"/>
    <m/>
    <x v="0"/>
  </r>
  <r>
    <n v="34514367"/>
    <b v="0"/>
    <b v="0"/>
    <b v="0"/>
    <b v="1"/>
    <b v="0"/>
    <b v="1"/>
    <b v="1"/>
    <b v="0"/>
    <b v="0"/>
    <n v="0"/>
    <n v="0"/>
    <m/>
    <d v="2017-06-28T00:00:00"/>
    <n v="32127162"/>
    <d v="2016-09-16T00:00:00"/>
    <m/>
    <m/>
    <s v=""/>
    <b v="0"/>
    <m/>
    <m/>
    <d v="2016-09-15T00:00:00"/>
    <m/>
    <n v="791522"/>
    <b v="1"/>
    <m/>
    <m/>
    <m/>
    <x v="0"/>
    <b v="1"/>
    <n v="34514367"/>
    <s v="Lee"/>
    <s v="Havey"/>
    <s v="Humana"/>
    <s v=""/>
    <s v=""/>
    <s v="LHavey@humana.com"/>
    <s v="502-476-5927"/>
    <s v=""/>
    <s v=""/>
    <s v=""/>
    <s v=""/>
    <s v=""/>
    <s v=""/>
    <s v=""/>
    <s v=""/>
    <s v=""/>
    <s v=""/>
    <s v=""/>
    <s v=""/>
    <s v=""/>
    <s v=""/>
    <s v=""/>
    <s v="371616Newsletter Recipient"/>
    <m/>
    <x v="0"/>
  </r>
  <r>
    <n v="34087300"/>
    <b v="0"/>
    <b v="0"/>
    <b v="0"/>
    <b v="1"/>
    <b v="0"/>
    <b v="1"/>
    <b v="1"/>
    <b v="0"/>
    <b v="0"/>
    <n v="0"/>
    <n v="0"/>
    <m/>
    <d v="2018-05-29T00:00:00"/>
    <n v="32127162"/>
    <d v="2016-08-29T00:00:00"/>
    <m/>
    <m/>
    <s v=""/>
    <b v="0"/>
    <m/>
    <m/>
    <d v="2016-08-29T00:00:00"/>
    <m/>
    <n v="791522"/>
    <b v="1"/>
    <m/>
    <m/>
    <m/>
    <x v="0"/>
    <b v="1"/>
    <n v="34087300"/>
    <s v="Jill"/>
    <s v="Hayden"/>
    <s v="Meridian Health Plan"/>
    <s v=""/>
    <s v=""/>
    <s v="Jill.Hayden@mhplan.com"/>
    <s v="312-705-2900"/>
    <s v=""/>
    <s v=""/>
    <s v=""/>
    <s v=""/>
    <s v=""/>
    <s v=""/>
    <s v=""/>
    <s v=""/>
    <s v=""/>
    <s v=""/>
    <s v=""/>
    <s v=""/>
    <s v=""/>
    <s v=""/>
    <s v=""/>
    <s v="335736Provider Relations - Committee Members, 371616Newsletter Recipient, 372293Quality Committee, 372294Finance Committee, 372295Board of Directors/General Distribution List, 372296Legislative Committee, 372297Operations Committee, 372298Operations Transportation Subcommittee, 372306Marketing Committee, 372312IHA-IAMHP Working Group, 3767711115 Workgroup, 420889Executive Committee, 420911IAMHP Leadership, 428250Hospital Assessment, 428788Pharmacy Director Committee, 441580Compliance Committee, 447857HFS Ops Workgroup"/>
    <m/>
    <x v="0"/>
  </r>
  <r>
    <n v="42922166"/>
    <b v="0"/>
    <b v="0"/>
    <b v="1"/>
    <b v="1"/>
    <b v="0"/>
    <b v="1"/>
    <b v="1"/>
    <b v="0"/>
    <b v="0"/>
    <n v="0"/>
    <n v="0"/>
    <m/>
    <d v="2018-02-12T00:00:00"/>
    <n v="32127162"/>
    <d v="2017-12-12T00:00:00"/>
    <d v="2017-12-12T00:00:00"/>
    <m/>
    <s v=""/>
    <b v="0"/>
    <m/>
    <m/>
    <d v="2017-12-18T00:00:00"/>
    <m/>
    <n v="791522"/>
    <b v="1"/>
    <m/>
    <d v="2017-12-18T00:00:00"/>
    <m/>
    <x v="0"/>
    <b v="1"/>
    <n v="42922166"/>
    <s v="Tracy"/>
    <s v="Haynes"/>
    <s v="Residential Options, Inc."/>
    <s v=""/>
    <s v=""/>
    <s v="thaynes@cuinc.org"/>
    <s v=""/>
    <s v=""/>
    <s v=""/>
    <s v=""/>
    <s v=""/>
    <s v=""/>
    <s v=""/>
    <s v=""/>
    <s v=""/>
    <s v=""/>
    <s v=""/>
    <s v=""/>
    <s v=""/>
    <s v=""/>
    <s v=""/>
    <s v=""/>
    <s v="371616Newsletter Recipient"/>
    <m/>
    <x v="0"/>
  </r>
  <r>
    <n v="40526759"/>
    <b v="0"/>
    <b v="0"/>
    <b v="0"/>
    <b v="1"/>
    <b v="0"/>
    <b v="1"/>
    <b v="1"/>
    <b v="0"/>
    <b v="0"/>
    <n v="0"/>
    <n v="0"/>
    <m/>
    <d v="2017-07-12T00:00:00"/>
    <n v="32127162"/>
    <d v="2017-07-12T00:00:00"/>
    <m/>
    <m/>
    <s v=""/>
    <b v="0"/>
    <m/>
    <m/>
    <d v="2017-07-12T00:00:00"/>
    <m/>
    <n v="791522"/>
    <b v="1"/>
    <m/>
    <m/>
    <m/>
    <x v="0"/>
    <b v="1"/>
    <n v="40526759"/>
    <s v="Catie"/>
    <s v="Heindel"/>
    <s v="Strategic Management"/>
    <s v=""/>
    <s v=""/>
    <s v="cheindel@strategicm.com"/>
    <s v=""/>
    <s v=""/>
    <s v=""/>
    <s v=""/>
    <s v=""/>
    <s v=""/>
    <s v=""/>
    <s v=""/>
    <s v=""/>
    <s v=""/>
    <s v=""/>
    <s v=""/>
    <s v=""/>
    <s v=""/>
    <s v=""/>
    <s v=""/>
    <s v="371616Newsletter Recipient"/>
    <m/>
    <x v="0"/>
  </r>
  <r>
    <n v="37819608"/>
    <b v="0"/>
    <b v="0"/>
    <b v="0"/>
    <b v="1"/>
    <b v="0"/>
    <b v="1"/>
    <b v="1"/>
    <b v="0"/>
    <b v="0"/>
    <n v="0"/>
    <n v="0"/>
    <m/>
    <d v="2017-02-24T00:00:00"/>
    <n v="32127162"/>
    <d v="2017-02-24T00:00:00"/>
    <m/>
    <m/>
    <s v=""/>
    <b v="0"/>
    <m/>
    <m/>
    <d v="2017-02-24T00:00:00"/>
    <m/>
    <n v="791522"/>
    <b v="1"/>
    <m/>
    <m/>
    <m/>
    <x v="0"/>
    <b v="1"/>
    <n v="37819608"/>
    <s v="Bill"/>
    <s v="Henderson"/>
    <s v="LIBERTY Dental Plan"/>
    <s v=""/>
    <s v=""/>
    <s v=""/>
    <s v=""/>
    <s v=""/>
    <s v=""/>
    <s v=""/>
    <s v=""/>
    <s v=""/>
    <s v=""/>
    <s v=""/>
    <s v="Senior VP of Business Development"/>
    <s v=""/>
    <s v=""/>
    <s v=""/>
    <s v=""/>
    <s v=""/>
    <s v=""/>
    <s v=""/>
    <s v="371616Newsletter Recipient"/>
    <m/>
    <x v="0"/>
  </r>
  <r>
    <n v="34514602"/>
    <b v="0"/>
    <b v="0"/>
    <b v="0"/>
    <b v="1"/>
    <b v="0"/>
    <b v="1"/>
    <b v="1"/>
    <b v="0"/>
    <b v="0"/>
    <n v="0"/>
    <n v="0"/>
    <m/>
    <d v="2017-07-10T00:00:00"/>
    <n v="32127162"/>
    <d v="2016-09-16T00:00:00"/>
    <m/>
    <m/>
    <s v=""/>
    <b v="0"/>
    <m/>
    <m/>
    <d v="2016-09-15T00:00:00"/>
    <m/>
    <n v="791522"/>
    <b v="1"/>
    <m/>
    <m/>
    <m/>
    <x v="0"/>
    <b v="1"/>
    <n v="34514602"/>
    <s v="William"/>
    <s v="Henderson"/>
    <s v="Aetna Better Health"/>
    <s v=""/>
    <s v=""/>
    <s v="HendersonW2@aetna.com"/>
    <s v="312-821-0629"/>
    <s v=""/>
    <s v=""/>
    <s v=""/>
    <s v=""/>
    <s v=""/>
    <s v=""/>
    <s v=""/>
    <s v=""/>
    <s v=""/>
    <s v=""/>
    <s v=""/>
    <s v=""/>
    <s v=""/>
    <s v=""/>
    <s v=""/>
    <s v="371616Newsletter Recipient"/>
    <m/>
    <x v="0"/>
  </r>
  <r>
    <n v="37819611"/>
    <b v="0"/>
    <b v="0"/>
    <b v="0"/>
    <b v="1"/>
    <b v="0"/>
    <b v="1"/>
    <b v="1"/>
    <b v="0"/>
    <b v="0"/>
    <n v="0"/>
    <n v="0"/>
    <m/>
    <d v="2018-02-12T00:00:00"/>
    <n v="32127162"/>
    <d v="2017-02-24T00:00:00"/>
    <m/>
    <m/>
    <s v=""/>
    <b v="0"/>
    <m/>
    <m/>
    <d v="2017-02-24T00:00:00"/>
    <m/>
    <n v="791522"/>
    <b v="1"/>
    <m/>
    <m/>
    <m/>
    <x v="0"/>
    <b v="1"/>
    <n v="37819611"/>
    <s v="Annette"/>
    <s v="Heneghan"/>
    <s v="VNA"/>
    <s v=""/>
    <s v=""/>
    <s v="aheneghan@vnahealthtrends.com"/>
    <s v=""/>
    <s v="M."/>
    <s v="RN"/>
    <s v=""/>
    <s v=""/>
    <s v=""/>
    <s v=""/>
    <s v=""/>
    <s v=""/>
    <s v=""/>
    <s v=""/>
    <s v=""/>
    <s v=""/>
    <s v=""/>
    <s v=""/>
    <s v=""/>
    <s v="371616Newsletter Recipient, 372311Business Member"/>
    <m/>
    <x v="0"/>
  </r>
  <r>
    <n v="34095948"/>
    <b v="0"/>
    <b v="0"/>
    <b v="0"/>
    <b v="1"/>
    <b v="0"/>
    <b v="1"/>
    <b v="1"/>
    <b v="0"/>
    <b v="0"/>
    <n v="0"/>
    <n v="0"/>
    <m/>
    <d v="2018-02-12T00:00:00"/>
    <n v="32127162"/>
    <d v="2016-08-30T00:00:00"/>
    <m/>
    <m/>
    <s v=""/>
    <b v="0"/>
    <m/>
    <m/>
    <d v="2016-08-29T00:00:00"/>
    <m/>
    <n v="791522"/>
    <b v="1"/>
    <m/>
    <m/>
    <m/>
    <x v="0"/>
    <b v="1"/>
    <n v="34095948"/>
    <s v="Mark"/>
    <s v="Henry"/>
    <s v="Humana"/>
    <s v=""/>
    <s v="Backup LTC Contact"/>
    <s v="MHenry4@humana.com"/>
    <s v="615-603-2095"/>
    <s v=""/>
    <s v=""/>
    <s v=""/>
    <s v=""/>
    <s v=""/>
    <s v=""/>
    <s v=""/>
    <s v=""/>
    <s v=""/>
    <s v=""/>
    <s v=""/>
    <s v=""/>
    <s v=""/>
    <s v=""/>
    <s v=""/>
    <s v="371616Newsletter Recipient"/>
    <m/>
    <x v="0"/>
  </r>
  <r>
    <n v="39463159"/>
    <b v="0"/>
    <b v="0"/>
    <b v="0"/>
    <b v="1"/>
    <b v="0"/>
    <b v="1"/>
    <b v="1"/>
    <b v="0"/>
    <b v="0"/>
    <n v="0"/>
    <n v="0"/>
    <m/>
    <d v="2017-06-26T00:00:00"/>
    <n v="32127162"/>
    <d v="2017-06-26T00:00:00"/>
    <m/>
    <m/>
    <s v=""/>
    <b v="0"/>
    <m/>
    <m/>
    <d v="2017-06-26T00:00:00"/>
    <m/>
    <n v="791522"/>
    <b v="1"/>
    <m/>
    <m/>
    <m/>
    <x v="0"/>
    <b v="1"/>
    <n v="39463159"/>
    <s v="Casey"/>
    <s v="Hensley"/>
    <s v="University of Illinois Hospital &amp; Health Science System"/>
    <s v=""/>
    <s v=""/>
    <s v="chensl6@uic.edu"/>
    <s v=""/>
    <s v=""/>
    <s v=""/>
    <s v=""/>
    <s v=""/>
    <s v=""/>
    <s v=""/>
    <s v=""/>
    <s v=""/>
    <s v=""/>
    <s v=""/>
    <s v=""/>
    <s v=""/>
    <s v=""/>
    <s v=""/>
    <s v=""/>
    <s v="371616Newsletter Recipient"/>
    <m/>
    <x v="0"/>
  </r>
  <r>
    <n v="37779188"/>
    <b v="0"/>
    <b v="0"/>
    <b v="0"/>
    <b v="1"/>
    <b v="0"/>
    <b v="1"/>
    <b v="1"/>
    <b v="0"/>
    <b v="0"/>
    <n v="0"/>
    <n v="0"/>
    <m/>
    <d v="2017-02-24T00:00:00"/>
    <n v="32127162"/>
    <d v="2017-02-21T00:00:00"/>
    <m/>
    <m/>
    <s v=""/>
    <b v="0"/>
    <m/>
    <m/>
    <d v="2017-02-20T00:00:00"/>
    <m/>
    <n v="791522"/>
    <b v="1"/>
    <m/>
    <m/>
    <m/>
    <x v="0"/>
    <b v="1"/>
    <n v="37779188"/>
    <s v="Elizabeth"/>
    <s v="Hernandez"/>
    <s v="Illinois General Assembly"/>
    <s v=""/>
    <s v="Representative Elizabeth Hernandez (D)_x000a_24th District_x0009__x000a__x000a_Springfield Office:_x000a_229-E Stratton Office Building_x000a_Springfield, IL   62706_x000a_(217) 782-8173_x000a_(217) 558-1844 FAX_x000a__x000a_District Office:_x000a_2137 S. Lombard_x000a_Suite 205_x000a_Cicero, IL  60804_x000a_(708) 222-5240_x000a_(708) 222-5241 FAX"/>
    <s v="repehernandez@yahoo.com"/>
    <s v=""/>
    <s v=""/>
    <s v=""/>
    <s v=""/>
    <s v=""/>
    <s v=""/>
    <s v=""/>
    <s v=""/>
    <s v=""/>
    <s v=""/>
    <s v=""/>
    <s v=""/>
    <s v=""/>
    <s v=""/>
    <s v=""/>
    <s v=""/>
    <s v="371616Newsletter Recipient, 371627House of Representatives"/>
    <m/>
    <x v="0"/>
  </r>
  <r>
    <n v="37984329"/>
    <b v="0"/>
    <b v="0"/>
    <b v="0"/>
    <b v="1"/>
    <b v="0"/>
    <b v="1"/>
    <b v="1"/>
    <b v="0"/>
    <b v="0"/>
    <n v="0"/>
    <n v="0"/>
    <m/>
    <d v="2017-06-21T00:00:00"/>
    <n v="32127162"/>
    <d v="2017-03-08T00:00:00"/>
    <m/>
    <m/>
    <s v=""/>
    <b v="0"/>
    <m/>
    <m/>
    <d v="2017-03-08T00:00:00"/>
    <m/>
    <n v="791522"/>
    <b v="1"/>
    <m/>
    <m/>
    <m/>
    <x v="0"/>
    <b v="1"/>
    <n v="37984329"/>
    <s v="Patricia"/>
    <s v="Hernandez"/>
    <s v="Cook County Health and Hospitals System"/>
    <s v=""/>
    <s v=""/>
    <s v="PAHERNANDEZ@COOKCOUNTYHHS.ORG"/>
    <s v="312-864-0932"/>
    <s v=""/>
    <s v=""/>
    <s v=""/>
    <s v=""/>
    <s v=""/>
    <s v=""/>
    <s v=""/>
    <s v="Community Outreach"/>
    <s v=""/>
    <s v=""/>
    <s v=""/>
    <s v=""/>
    <s v=""/>
    <s v=""/>
    <s v=""/>
    <s v="371616Newsletter Recipient"/>
    <m/>
    <x v="0"/>
  </r>
  <r>
    <n v="38304151"/>
    <b v="0"/>
    <b v="0"/>
    <b v="0"/>
    <b v="1"/>
    <b v="0"/>
    <b v="1"/>
    <b v="1"/>
    <b v="0"/>
    <b v="0"/>
    <n v="0"/>
    <n v="0"/>
    <m/>
    <d v="2017-06-21T00:00:00"/>
    <n v="32127162"/>
    <d v="2017-03-29T00:00:00"/>
    <m/>
    <m/>
    <s v=""/>
    <b v="0"/>
    <m/>
    <m/>
    <d v="2017-03-29T00:00:00"/>
    <m/>
    <n v="791522"/>
    <b v="1"/>
    <m/>
    <m/>
    <m/>
    <x v="0"/>
    <b v="1"/>
    <n v="38304151"/>
    <s v="Bruce"/>
    <s v="Himelstein"/>
    <s v="Blue Cross Blue Shield"/>
    <s v=""/>
    <s v=""/>
    <s v="bruce_himelstein@bcbsil.com"/>
    <s v=""/>
    <s v=""/>
    <s v=""/>
    <s v=""/>
    <s v=""/>
    <s v=""/>
    <s v=""/>
    <s v=""/>
    <s v=""/>
    <s v=""/>
    <s v=""/>
    <s v=""/>
    <s v=""/>
    <s v=""/>
    <s v=""/>
    <s v=""/>
    <s v="3767711115 Workgroup"/>
    <m/>
    <x v="0"/>
  </r>
  <r>
    <n v="44026465"/>
    <b v="0"/>
    <b v="0"/>
    <b v="0"/>
    <b v="1"/>
    <b v="0"/>
    <b v="1"/>
    <b v="1"/>
    <b v="0"/>
    <b v="0"/>
    <n v="0"/>
    <n v="0"/>
    <m/>
    <d v="2018-03-26T00:00:00"/>
    <n v="32127162"/>
    <d v="2018-03-02T00:00:00"/>
    <m/>
    <m/>
    <s v=""/>
    <b v="0"/>
    <m/>
    <m/>
    <d v="2018-03-02T00:00:00"/>
    <m/>
    <n v="791522"/>
    <b v="1"/>
    <m/>
    <d v="2018-03-02T00:00:00"/>
    <m/>
    <x v="0"/>
    <b v="1"/>
    <n v="44026465"/>
    <s v="Janean"/>
    <s v="Hines"/>
    <s v="Aetna Better Health of Illinois"/>
    <s v=""/>
    <s v=""/>
    <s v="hinesj1@aetna.com"/>
    <s v="(630) 737-2462"/>
    <s v=""/>
    <s v=""/>
    <s v=""/>
    <s v=""/>
    <s v=""/>
    <s v=""/>
    <s v=""/>
    <s v=""/>
    <s v=""/>
    <s v=""/>
    <s v=""/>
    <s v=""/>
    <s v=""/>
    <s v=""/>
    <s v=""/>
    <s v="420938Hospice - Contracts, 420939Hospice - Claims &amp; Billing, 420940Hospice - Care Coordination, 420987LTC - Contracts, 420988LTC - Claims &amp; Billing, 420989LTC - Care Coordination"/>
    <s v="10633525Contracts, 10633526Claims/Billing, 10633527Care Coordination"/>
    <x v="0"/>
  </r>
  <r>
    <n v="46434164"/>
    <b v="0"/>
    <b v="0"/>
    <b v="0"/>
    <b v="1"/>
    <b v="0"/>
    <b v="1"/>
    <b v="1"/>
    <b v="0"/>
    <b v="0"/>
    <n v="0"/>
    <n v="0"/>
    <m/>
    <d v="2018-06-20T00:00:00"/>
    <n v="32127162"/>
    <d v="2018-06-20T00:00:00"/>
    <m/>
    <m/>
    <s v=""/>
    <b v="0"/>
    <m/>
    <m/>
    <d v="2018-06-20T00:00:00"/>
    <m/>
    <n v="791522"/>
    <b v="1"/>
    <m/>
    <d v="2018-06-20T00:00:00"/>
    <m/>
    <x v="0"/>
    <b v="1"/>
    <n v="46434164"/>
    <s v="Kim"/>
    <s v="Hixson"/>
    <s v="CHCSEIA, INC"/>
    <s v=""/>
    <s v=""/>
    <s v="khixson@chcseia.com"/>
    <s v=""/>
    <s v=""/>
    <s v=""/>
    <s v=""/>
    <s v=""/>
    <s v=""/>
    <s v=""/>
    <s v="CHCSEIA, INC"/>
    <s v=""/>
    <s v=""/>
    <s v=""/>
    <s v=""/>
    <s v=""/>
    <s v=""/>
    <s v=""/>
    <s v=""/>
    <s v="371616Newsletter Recipient"/>
    <m/>
    <x v="0"/>
  </r>
  <r>
    <n v="43246335"/>
    <b v="0"/>
    <b v="0"/>
    <b v="0"/>
    <b v="1"/>
    <b v="0"/>
    <b v="1"/>
    <b v="1"/>
    <b v="0"/>
    <b v="0"/>
    <n v="0"/>
    <n v="0"/>
    <m/>
    <d v="2018-01-12T00:00:00"/>
    <n v="32127162"/>
    <d v="2018-01-12T00:00:00"/>
    <m/>
    <m/>
    <s v=""/>
    <b v="0"/>
    <m/>
    <m/>
    <d v="2018-01-12T00:00:00"/>
    <m/>
    <n v="791522"/>
    <b v="1"/>
    <m/>
    <d v="2018-01-12T00:00:00"/>
    <m/>
    <x v="0"/>
    <b v="1"/>
    <n v="43246335"/>
    <s v="Gary"/>
    <s v="Hoberman"/>
    <s v="Podiatry Plus, PC"/>
    <s v=""/>
    <s v=""/>
    <s v=""/>
    <s v=""/>
    <s v=""/>
    <s v=""/>
    <s v=""/>
    <s v=""/>
    <s v=""/>
    <s v=""/>
    <s v=""/>
    <s v=""/>
    <s v=""/>
    <s v=""/>
    <s v=""/>
    <s v=""/>
    <s v=""/>
    <s v=""/>
    <s v=""/>
    <s v="371616Newsletter Recipient"/>
    <m/>
    <x v="0"/>
  </r>
  <r>
    <n v="42847217"/>
    <b v="0"/>
    <b v="0"/>
    <b v="0"/>
    <b v="1"/>
    <b v="0"/>
    <b v="1"/>
    <b v="1"/>
    <b v="0"/>
    <b v="0"/>
    <n v="0"/>
    <n v="0"/>
    <m/>
    <d v="2017-12-06T00:00:00"/>
    <n v="32127162"/>
    <d v="2017-12-06T00:00:00"/>
    <m/>
    <m/>
    <s v=""/>
    <b v="0"/>
    <m/>
    <m/>
    <d v="2017-12-06T00:00:00"/>
    <m/>
    <n v="791522"/>
    <b v="1"/>
    <m/>
    <d v="2017-12-06T00:00:00"/>
    <m/>
    <x v="0"/>
    <b v="1"/>
    <n v="42847217"/>
    <s v="Allison"/>
    <s v="Hoffman"/>
    <s v="CountyCare Health Plan"/>
    <s v=""/>
    <s v=""/>
    <s v="ahoffman@evolenthealth.com"/>
    <s v=""/>
    <s v=""/>
    <s v=""/>
    <s v=""/>
    <s v=""/>
    <s v=""/>
    <s v=""/>
    <s v="CountyCare Health Plan"/>
    <s v=""/>
    <s v=""/>
    <s v=""/>
    <s v=""/>
    <s v=""/>
    <s v=""/>
    <s v=""/>
    <s v=""/>
    <s v="335736Provider Relations - Committee Members"/>
    <m/>
    <x v="0"/>
  </r>
  <r>
    <n v="37779194"/>
    <b v="0"/>
    <b v="0"/>
    <b v="0"/>
    <b v="1"/>
    <b v="0"/>
    <b v="1"/>
    <b v="1"/>
    <b v="0"/>
    <b v="0"/>
    <n v="0"/>
    <n v="0"/>
    <m/>
    <d v="2017-02-24T00:00:00"/>
    <n v="32127162"/>
    <d v="2017-02-21T00:00:00"/>
    <m/>
    <m/>
    <s v=""/>
    <b v="0"/>
    <m/>
    <m/>
    <d v="2017-02-20T00:00:00"/>
    <m/>
    <n v="791522"/>
    <b v="1"/>
    <m/>
    <m/>
    <m/>
    <x v="0"/>
    <b v="1"/>
    <n v="37779194"/>
    <s v="Jay"/>
    <s v="Hoffman"/>
    <s v="Illinois General Assembly"/>
    <s v=""/>
    <s v="Representative Jay Hoffman (D)_x000a_113th District_x000a_Assistant Majority Leader _x0009__x000a__x000a_Springfield Office:_x000a_261-S Stratton Office Building_x000a_Springfield, IL   62706_x000a_(217) 782-0104_x000a_(217) 782-1333 FAX_x000a__x000a_District Office:_x000a_312 S. High St._x000a_Belleville, IL  62220_x000a_(618) 416-7407_x000a_(618) 416-7409 FAX"/>
    <s v="repjayhoffman@gmail.com"/>
    <s v=""/>
    <s v=""/>
    <s v=""/>
    <s v=""/>
    <s v=""/>
    <s v=""/>
    <s v=""/>
    <s v=""/>
    <s v=""/>
    <s v=""/>
    <s v=""/>
    <s v=""/>
    <s v=""/>
    <s v=""/>
    <s v=""/>
    <s v=""/>
    <s v="371616Newsletter Recipient, 371627House of Representatives"/>
    <m/>
    <x v="0"/>
  </r>
  <r>
    <n v="36686396"/>
    <b v="0"/>
    <b v="0"/>
    <b v="0"/>
    <b v="1"/>
    <b v="0"/>
    <b v="1"/>
    <b v="1"/>
    <b v="0"/>
    <b v="0"/>
    <n v="0"/>
    <n v="0"/>
    <m/>
    <d v="2018-06-14T00:00:00"/>
    <n v="32127162"/>
    <d v="2016-12-27T00:00:00"/>
    <m/>
    <m/>
    <s v=""/>
    <b v="0"/>
    <m/>
    <m/>
    <d v="2016-12-27T00:00:00"/>
    <m/>
    <n v="791522"/>
    <b v="1"/>
    <m/>
    <m/>
    <m/>
    <x v="0"/>
    <b v="1"/>
    <n v="36686396"/>
    <s v="Heather"/>
    <s v="Holberg"/>
    <s v="CountyCare Health Plan"/>
    <s v=""/>
    <s v=""/>
    <s v="hholberg@cookcountyhhs.org"/>
    <s v="312-864-1160"/>
    <s v=""/>
    <s v=""/>
    <s v=""/>
    <s v=""/>
    <s v=""/>
    <s v=""/>
    <s v=""/>
    <s v="Redetermination Point Person"/>
    <s v=""/>
    <s v=""/>
    <s v=""/>
    <s v=""/>
    <s v=""/>
    <s v=""/>
    <s v=""/>
    <s v="371616Newsletter Recipient"/>
    <m/>
    <x v="0"/>
  </r>
  <r>
    <n v="41534939"/>
    <b v="0"/>
    <b v="0"/>
    <b v="1"/>
    <b v="1"/>
    <b v="0"/>
    <b v="1"/>
    <b v="1"/>
    <b v="0"/>
    <b v="0"/>
    <n v="0"/>
    <n v="0"/>
    <m/>
    <d v="2017-10-09T00:00:00"/>
    <n v="32127162"/>
    <d v="2017-09-18T00:00:00"/>
    <d v="2017-09-18T00:00:00"/>
    <m/>
    <s v=""/>
    <b v="0"/>
    <m/>
    <m/>
    <d v="2017-09-18T00:00:00"/>
    <m/>
    <n v="791522"/>
    <b v="1"/>
    <m/>
    <d v="2017-09-18T00:00:00"/>
    <m/>
    <x v="0"/>
    <b v="1"/>
    <n v="41534939"/>
    <s v="Margo"/>
    <s v="Holden"/>
    <s v="Blue Cross Blue Shield of IL"/>
    <s v="Community Investments"/>
    <s v=""/>
    <s v="margo_holden@bcbsil.com"/>
    <s v="3126537573"/>
    <s v=""/>
    <s v=""/>
    <s v="margo_holden-bowens@bcbsil.com"/>
    <s v=""/>
    <s v=""/>
    <s v=""/>
    <s v=""/>
    <s v=""/>
    <s v=""/>
    <s v=""/>
    <s v=""/>
    <s v=""/>
    <s v=""/>
    <s v=""/>
    <s v=""/>
    <s v="371616Newsletter Recipient"/>
    <m/>
    <x v="0"/>
  </r>
  <r>
    <n v="37770570"/>
    <b v="0"/>
    <b v="0"/>
    <b v="0"/>
    <b v="1"/>
    <b v="0"/>
    <b v="1"/>
    <b v="1"/>
    <b v="0"/>
    <b v="0"/>
    <n v="0"/>
    <n v="0"/>
    <m/>
    <d v="2017-02-24T00:00:00"/>
    <n v="32127162"/>
    <d v="2017-02-20T00:00:00"/>
    <m/>
    <m/>
    <s v=""/>
    <b v="0"/>
    <m/>
    <m/>
    <d v="2017-02-20T00:00:00"/>
    <m/>
    <n v="791522"/>
    <b v="1"/>
    <m/>
    <m/>
    <m/>
    <x v="0"/>
    <b v="1"/>
    <n v="37770570"/>
    <s v="Linda"/>
    <s v="Holmes"/>
    <s v="Illinois General Assembly"/>
    <s v=""/>
    <s v="Senator Linda Holmes (D)_x000a_42nd District_x0009_ _x0009__x000a__x000a_Springfield Office:_x000a_Senator 42nd District_x000a_129 Capitol Building_x000a_Springfield, IL   62706_x000a_(217) 782-0422_x000a_(217) 558-6006 FAX_x000a_ _x000a_District Office:_x000a_76 S. LaSalle Street,_x000a_Suite 202_x000a_Aurora, IL  60505_x000a_(630) 801-8985_x000a_(630) 801-8987 FAX"/>
    <s v=""/>
    <s v=""/>
    <s v=""/>
    <s v=""/>
    <s v=""/>
    <s v=""/>
    <s v="(217) 782-0422"/>
    <s v=""/>
    <s v=""/>
    <s v=""/>
    <s v=""/>
    <s v=""/>
    <s v=""/>
    <s v=""/>
    <s v=""/>
    <s v=""/>
    <s v=""/>
    <s v="371609Senator, 371616Newsletter Recipient"/>
    <m/>
    <x v="0"/>
  </r>
  <r>
    <n v="37819621"/>
    <b v="0"/>
    <b v="0"/>
    <b v="0"/>
    <b v="1"/>
    <b v="0"/>
    <b v="1"/>
    <b v="1"/>
    <b v="0"/>
    <b v="0"/>
    <n v="0"/>
    <n v="0"/>
    <m/>
    <d v="2017-02-24T00:00:00"/>
    <n v="32127162"/>
    <d v="2017-02-24T00:00:00"/>
    <m/>
    <m/>
    <s v=""/>
    <b v="0"/>
    <m/>
    <m/>
    <d v="2017-02-24T00:00:00"/>
    <m/>
    <n v="791522"/>
    <b v="1"/>
    <m/>
    <m/>
    <m/>
    <x v="0"/>
    <b v="1"/>
    <n v="37819621"/>
    <s v="Ron"/>
    <s v="Holmes"/>
    <s v="Ron Holmes Consulting"/>
    <s v=""/>
    <s v=""/>
    <s v="ron@ronholmesconsulting.com"/>
    <s v=""/>
    <s v=""/>
    <s v=""/>
    <s v="ronaldholmesjr@gmail.com"/>
    <s v=""/>
    <s v=""/>
    <s v=""/>
    <s v=""/>
    <s v=""/>
    <s v=""/>
    <s v=""/>
    <s v=""/>
    <s v=""/>
    <s v=""/>
    <s v=""/>
    <s v=""/>
    <s v="371616Newsletter Recipient, 372294Finance Committee, 372295Board of Directors/General Distribution List, 372296Legislative Committee, 428250Hospital Assessment"/>
    <m/>
    <x v="0"/>
  </r>
  <r>
    <n v="41544134"/>
    <b v="0"/>
    <b v="0"/>
    <b v="0"/>
    <b v="1"/>
    <b v="0"/>
    <b v="1"/>
    <b v="1"/>
    <b v="0"/>
    <b v="0"/>
    <n v="0"/>
    <n v="0"/>
    <m/>
    <d v="2018-02-12T00:00:00"/>
    <n v="32127162"/>
    <d v="2017-09-19T00:00:00"/>
    <m/>
    <m/>
    <s v=""/>
    <b v="0"/>
    <m/>
    <m/>
    <d v="2017-09-19T00:00:00"/>
    <m/>
    <n v="791522"/>
    <b v="1"/>
    <m/>
    <d v="2017-09-19T00:00:00"/>
    <m/>
    <x v="0"/>
    <b v="1"/>
    <n v="41544134"/>
    <s v="Gregory"/>
    <s v="Holston"/>
    <s v="UI Health - Chicago"/>
    <s v=""/>
    <s v=""/>
    <s v="greghol@uic.edu"/>
    <s v=""/>
    <s v=""/>
    <s v=""/>
    <s v=""/>
    <s v=""/>
    <s v=""/>
    <s v=""/>
    <s v=""/>
    <s v=""/>
    <s v=""/>
    <s v=""/>
    <s v=""/>
    <s v=""/>
    <s v=""/>
    <s v=""/>
    <s v=""/>
    <s v="371616Newsletter Recipient"/>
    <m/>
    <x v="0"/>
  </r>
  <r>
    <n v="41969079"/>
    <b v="0"/>
    <b v="0"/>
    <b v="0"/>
    <b v="1"/>
    <b v="0"/>
    <b v="1"/>
    <b v="1"/>
    <b v="0"/>
    <b v="0"/>
    <n v="0"/>
    <n v="0"/>
    <m/>
    <d v="2018-02-12T00:00:00"/>
    <n v="32127162"/>
    <d v="2017-10-16T00:00:00"/>
    <m/>
    <m/>
    <s v=""/>
    <b v="0"/>
    <m/>
    <m/>
    <d v="2017-10-16T00:00:00"/>
    <m/>
    <n v="791522"/>
    <b v="1"/>
    <m/>
    <d v="2017-10-16T00:00:00"/>
    <m/>
    <x v="0"/>
    <b v="1"/>
    <n v="41969079"/>
    <s v="Ann Marie"/>
    <s v="Homco"/>
    <s v="Cook Coumty Health &amp; Hosptials System"/>
    <s v=""/>
    <s v=""/>
    <s v="ahomco@cookcountyhhs.org"/>
    <s v=""/>
    <s v=""/>
    <s v=""/>
    <s v=""/>
    <s v=""/>
    <s v=""/>
    <s v=""/>
    <s v=""/>
    <s v=""/>
    <s v=""/>
    <s v=""/>
    <s v=""/>
    <s v=""/>
    <s v=""/>
    <s v=""/>
    <s v=""/>
    <s v="371616Newsletter Recipient"/>
    <m/>
    <x v="0"/>
  </r>
  <r>
    <n v="43488381"/>
    <b v="0"/>
    <b v="0"/>
    <b v="0"/>
    <b v="1"/>
    <b v="0"/>
    <b v="1"/>
    <b v="1"/>
    <b v="0"/>
    <b v="0"/>
    <n v="0"/>
    <n v="0"/>
    <m/>
    <d v="2018-03-26T00:00:00"/>
    <n v="32127162"/>
    <d v="2018-01-29T00:00:00"/>
    <m/>
    <m/>
    <s v=""/>
    <b v="0"/>
    <m/>
    <m/>
    <d v="2018-01-28T00:00:00"/>
    <m/>
    <n v="791522"/>
    <b v="1"/>
    <m/>
    <d v="2018-01-29T00:00:00"/>
    <m/>
    <x v="0"/>
    <b v="1"/>
    <n v="43488381"/>
    <s v="Anthony"/>
    <s v="Hough"/>
    <s v="Molina Healthcare of Illinois, Inc."/>
    <s v=""/>
    <s v=""/>
    <s v="Anthony.Hough@molinahealthcare.com"/>
    <s v="(888) 562-5442 x161154"/>
    <s v=""/>
    <s v=""/>
    <s v=""/>
    <s v=""/>
    <s v=""/>
    <s v=""/>
    <s v=""/>
    <s v=""/>
    <s v=""/>
    <s v=""/>
    <s v=""/>
    <s v=""/>
    <s v=""/>
    <s v=""/>
    <s v=""/>
    <s v="371616Newsletter Recipient, 420963Vision - Contracts, 420964Vision - Claims &amp; Billing, 420965Vision - Care Coordination, 420967Transportation - Contracts, 420968Transportation - Claims &amp; Billing, 420969Transportation - Care Coordination"/>
    <s v="10633525Contracts, 10633526Claims/Billing, 10633527Care Coordination"/>
    <x v="0"/>
  </r>
  <r>
    <n v="37822754"/>
    <b v="0"/>
    <b v="0"/>
    <b v="0"/>
    <b v="1"/>
    <b v="0"/>
    <b v="1"/>
    <b v="1"/>
    <b v="0"/>
    <b v="0"/>
    <n v="0"/>
    <n v="0"/>
    <m/>
    <d v="2017-02-24T00:00:00"/>
    <n v="32127162"/>
    <d v="2017-02-24T00:00:00"/>
    <m/>
    <m/>
    <s v=""/>
    <b v="0"/>
    <m/>
    <m/>
    <d v="2017-02-24T00:00:00"/>
    <m/>
    <n v="791522"/>
    <b v="1"/>
    <m/>
    <m/>
    <m/>
    <x v="0"/>
    <b v="1"/>
    <n v="37822754"/>
    <s v="Sara"/>
    <s v="Howe"/>
    <s v="ILABH"/>
    <s v=""/>
    <s v=""/>
    <s v="sara@ilabh.org"/>
    <s v=""/>
    <s v=""/>
    <s v=""/>
    <s v=""/>
    <s v=""/>
    <s v=""/>
    <s v=""/>
    <s v=""/>
    <s v=""/>
    <s v=""/>
    <s v=""/>
    <s v=""/>
    <s v=""/>
    <s v=""/>
    <s v=""/>
    <s v=""/>
    <s v="371616Newsletter Recipient"/>
    <m/>
    <x v="0"/>
  </r>
  <r>
    <n v="42039493"/>
    <b v="0"/>
    <b v="0"/>
    <b v="0"/>
    <b v="1"/>
    <b v="0"/>
    <b v="1"/>
    <b v="1"/>
    <b v="0"/>
    <b v="0"/>
    <n v="0"/>
    <n v="0"/>
    <m/>
    <d v="2017-10-20T00:00:00"/>
    <n v="32127162"/>
    <d v="2017-10-20T00:00:00"/>
    <m/>
    <m/>
    <s v=""/>
    <b v="0"/>
    <m/>
    <m/>
    <d v="2017-10-20T00:00:00"/>
    <m/>
    <n v="791522"/>
    <b v="1"/>
    <m/>
    <d v="2017-10-20T00:00:00"/>
    <m/>
    <x v="0"/>
    <b v="1"/>
    <n v="42039493"/>
    <s v="Walter"/>
    <s v="Howe"/>
    <s v="Illinois Public Health Association"/>
    <s v=""/>
    <s v=""/>
    <s v="whowe@ipha.com"/>
    <s v=""/>
    <s v=""/>
    <s v=""/>
    <s v=""/>
    <s v=""/>
    <s v=""/>
    <s v=""/>
    <s v=""/>
    <s v=""/>
    <s v=""/>
    <s v=""/>
    <s v=""/>
    <s v=""/>
    <s v=""/>
    <s v=""/>
    <s v=""/>
    <s v="371616Newsletter Recipient"/>
    <m/>
    <x v="0"/>
  </r>
  <r>
    <n v="38130691"/>
    <b v="0"/>
    <b v="0"/>
    <b v="0"/>
    <b v="1"/>
    <b v="0"/>
    <b v="1"/>
    <b v="1"/>
    <b v="0"/>
    <b v="0"/>
    <n v="0"/>
    <n v="0"/>
    <m/>
    <d v="2017-06-21T00:00:00"/>
    <n v="32127162"/>
    <d v="2017-03-20T00:00:00"/>
    <m/>
    <m/>
    <s v=""/>
    <b v="0"/>
    <m/>
    <m/>
    <d v="2017-03-20T00:00:00"/>
    <m/>
    <n v="791522"/>
    <b v="1"/>
    <m/>
    <m/>
    <m/>
    <x v="0"/>
    <b v="1"/>
    <n v="38130691"/>
    <s v="Cynthia"/>
    <s v="Hughes"/>
    <s v="J &amp; B Medical Supply"/>
    <s v=""/>
    <s v=""/>
    <s v="chughes@jandbmedical.com"/>
    <s v="248-896-6243"/>
    <s v=""/>
    <s v=""/>
    <s v=""/>
    <s v=""/>
    <s v=""/>
    <s v=""/>
    <s v="J &amp; B Medical Supply"/>
    <s v="Executive Administrative Assistant"/>
    <s v=""/>
    <s v=""/>
    <s v=""/>
    <s v=""/>
    <s v=""/>
    <s v=""/>
    <s v=""/>
    <s v="371616Newsletter Recipient, 372311Business Member"/>
    <m/>
    <x v="0"/>
  </r>
  <r>
    <n v="41944236"/>
    <b v="0"/>
    <b v="0"/>
    <b v="0"/>
    <b v="1"/>
    <b v="0"/>
    <b v="1"/>
    <b v="1"/>
    <b v="0"/>
    <b v="0"/>
    <n v="0"/>
    <n v="0"/>
    <m/>
    <d v="2018-06-21T00:00:00"/>
    <n v="32127162"/>
    <d v="2017-10-12T00:00:00"/>
    <m/>
    <m/>
    <s v=""/>
    <b v="0"/>
    <m/>
    <m/>
    <d v="2017-10-12T00:00:00"/>
    <m/>
    <n v="791522"/>
    <b v="1"/>
    <m/>
    <d v="2017-10-12T00:00:00"/>
    <m/>
    <x v="0"/>
    <b v="1"/>
    <n v="41944236"/>
    <s v="Shannon"/>
    <s v="Hughes"/>
    <s v="Healthcare and Family Services (HFS)"/>
    <s v=""/>
    <s v=""/>
    <s v="shannon.hughes@illinois.gov"/>
    <s v=""/>
    <s v=""/>
    <s v=""/>
    <s v=""/>
    <s v=""/>
    <s v=""/>
    <s v=""/>
    <s v="Healthcare and Family Services (HFS)"/>
    <s v=""/>
    <s v=""/>
    <s v=""/>
    <s v=""/>
    <s v=""/>
    <s v=""/>
    <s v=""/>
    <s v=""/>
    <s v="371616Newsletter Recipient"/>
    <m/>
    <x v="0"/>
  </r>
  <r>
    <n v="37822767"/>
    <b v="0"/>
    <b v="0"/>
    <b v="0"/>
    <b v="1"/>
    <b v="0"/>
    <b v="1"/>
    <b v="1"/>
    <b v="0"/>
    <b v="0"/>
    <n v="0"/>
    <n v="0"/>
    <m/>
    <d v="2017-02-24T00:00:00"/>
    <n v="32127162"/>
    <d v="2017-02-24T00:00:00"/>
    <m/>
    <m/>
    <s v=""/>
    <b v="0"/>
    <m/>
    <m/>
    <d v="2017-02-24T00:00:00"/>
    <m/>
    <n v="791522"/>
    <b v="1"/>
    <m/>
    <m/>
    <m/>
    <x v="0"/>
    <b v="1"/>
    <n v="37822767"/>
    <s v="Tom"/>
    <s v="Hughes"/>
    <s v="Illinois Public Health Association"/>
    <s v=""/>
    <s v=""/>
    <s v="Thughes@ipha.com"/>
    <s v="217/522-5687"/>
    <s v=""/>
    <s v=""/>
    <s v=""/>
    <s v=""/>
    <s v=""/>
    <s v=""/>
    <s v=""/>
    <s v=""/>
    <s v=""/>
    <s v=""/>
    <s v=""/>
    <s v=""/>
    <s v=""/>
    <s v=""/>
    <s v=""/>
    <s v="371616Newsletter Recipient"/>
    <m/>
    <x v="0"/>
  </r>
  <r>
    <n v="43415669"/>
    <b v="0"/>
    <b v="0"/>
    <b v="0"/>
    <b v="1"/>
    <b v="0"/>
    <b v="1"/>
    <b v="1"/>
    <b v="0"/>
    <b v="0"/>
    <n v="0"/>
    <n v="0"/>
    <m/>
    <d v="2018-02-12T00:00:00"/>
    <n v="32127162"/>
    <d v="2018-01-22T00:00:00"/>
    <m/>
    <m/>
    <s v=""/>
    <b v="0"/>
    <m/>
    <m/>
    <d v="2018-01-22T00:00:00"/>
    <m/>
    <n v="791522"/>
    <b v="1"/>
    <m/>
    <d v="2018-01-22T00:00:00"/>
    <m/>
    <x v="0"/>
    <b v="1"/>
    <n v="43415669"/>
    <s v="Joette"/>
    <s v="Hula"/>
    <s v="Blue Cross Blue Shield of Illinois"/>
    <s v=""/>
    <s v=""/>
    <s v="Joette_Hula@bcbsil.com"/>
    <s v=""/>
    <s v=""/>
    <s v=""/>
    <s v=""/>
    <s v=""/>
    <s v=""/>
    <s v=""/>
    <s v=""/>
    <s v=""/>
    <s v=""/>
    <s v=""/>
    <s v=""/>
    <s v=""/>
    <s v=""/>
    <s v=""/>
    <s v=""/>
    <s v="335736Provider Relations - Committee Members, 371616Newsletter Recipient"/>
    <m/>
    <x v="0"/>
  </r>
  <r>
    <n v="37770576"/>
    <b v="0"/>
    <b v="0"/>
    <b v="0"/>
    <b v="1"/>
    <b v="0"/>
    <b v="1"/>
    <b v="1"/>
    <b v="0"/>
    <b v="0"/>
    <n v="0"/>
    <n v="0"/>
    <m/>
    <d v="2017-02-24T00:00:00"/>
    <n v="32127162"/>
    <d v="2017-02-20T00:00:00"/>
    <m/>
    <m/>
    <s v=""/>
    <b v="0"/>
    <m/>
    <m/>
    <d v="2017-02-20T00:00:00"/>
    <m/>
    <n v="791522"/>
    <b v="1"/>
    <m/>
    <m/>
    <m/>
    <x v="0"/>
    <b v="1"/>
    <n v="37770576"/>
    <s v="Mattie"/>
    <s v="Hunter"/>
    <s v="Illinois General Assembly"/>
    <s v="Senator"/>
    <s v="Senator Mattie Hunter (D)_x000a_3rd District_x000a_Majority Caucus Whip_x0009_ _x0009__x000a__x000a_Springfield Office:_x000a_Senator 3rd District_x000a_619 Capitol Building_x000a_Springfield, IL   62706_x000a_(217) 782-5966_x000a_(217) 782-1631 FAX_x000a_ _x000a_District Office:_x000a_2929 S. Wabash Avenue_x000a_Suite 102_x000a_Chicago, IL  60616_x000a_(312) 949-1908_x000a_(312) 949-1958 FAX"/>
    <s v="mhunterassoc@sbcglobal.net"/>
    <s v=""/>
    <s v=""/>
    <s v=""/>
    <s v=""/>
    <s v=""/>
    <s v="(217) 782-5966"/>
    <s v=""/>
    <s v=""/>
    <s v=""/>
    <s v=""/>
    <s v=""/>
    <s v=""/>
    <s v=""/>
    <s v=""/>
    <s v=""/>
    <s v=""/>
    <s v="371609Senator, 371616Newsletter Recipient"/>
    <m/>
    <x v="0"/>
  </r>
  <r>
    <n v="37779201"/>
    <b v="0"/>
    <b v="0"/>
    <b v="0"/>
    <b v="1"/>
    <b v="0"/>
    <b v="1"/>
    <b v="1"/>
    <b v="0"/>
    <b v="0"/>
    <n v="0"/>
    <n v="0"/>
    <m/>
    <d v="2017-02-24T00:00:00"/>
    <n v="32127162"/>
    <d v="2017-02-21T00:00:00"/>
    <m/>
    <m/>
    <s v=""/>
    <b v="0"/>
    <m/>
    <m/>
    <d v="2017-02-20T00:00:00"/>
    <m/>
    <n v="791522"/>
    <b v="1"/>
    <m/>
    <m/>
    <m/>
    <x v="0"/>
    <b v="1"/>
    <n v="37779201"/>
    <s v="Frances Ann"/>
    <s v="Hurley"/>
    <s v="Illinois General Assembly"/>
    <s v=""/>
    <s v="Representative Frances Ann Hurley (D)_x000a_35th District_x0009__x000a__x000a_Springfield Office:_x000a_281-S Stratton Office Building_x000a_Springfield, IL   62706_x000a_(217) 782-8200_x000a__x000a_District Office:_x000a_10400 S. Western_x000a_Chicago, IL  60643_x000a_(773) 445-8128_x000a_(773) 672-5144 FAX_x000a__x000a_16033 S 94th Avenue_x000a_Orland Hills, IL 60487_x000a_(708) 233-9703"/>
    <s v="repfranhurley@gmail.com"/>
    <s v=""/>
    <s v=""/>
    <s v=""/>
    <s v=""/>
    <s v=""/>
    <s v=""/>
    <s v=""/>
    <s v=""/>
    <s v=""/>
    <s v=""/>
    <s v=""/>
    <s v=""/>
    <s v=""/>
    <s v=""/>
    <s v=""/>
    <s v=""/>
    <s v="371616Newsletter Recipient, 371627House of Representatives"/>
    <m/>
    <x v="0"/>
  </r>
  <r>
    <n v="37822723"/>
    <b v="0"/>
    <b v="0"/>
    <b v="0"/>
    <b v="1"/>
    <b v="0"/>
    <b v="1"/>
    <b v="1"/>
    <b v="0"/>
    <b v="0"/>
    <n v="0"/>
    <n v="0"/>
    <m/>
    <d v="2018-02-12T00:00:00"/>
    <n v="32127162"/>
    <d v="2017-02-24T00:00:00"/>
    <m/>
    <m/>
    <s v=""/>
    <b v="0"/>
    <m/>
    <m/>
    <d v="2017-02-24T00:00:00"/>
    <m/>
    <n v="791522"/>
    <b v="1"/>
    <m/>
    <m/>
    <m/>
    <x v="0"/>
    <b v="1"/>
    <n v="37822723"/>
    <s v="Teresa"/>
    <s v="Hursey"/>
    <s v="HFS"/>
    <s v=""/>
    <s v=""/>
    <s v="Teresa.Hursey@illinois.gov"/>
    <s v=""/>
    <s v=""/>
    <s v=""/>
    <s v=""/>
    <s v=""/>
    <s v=""/>
    <s v=""/>
    <s v=""/>
    <s v="teresa.hursey@illinois.gov"/>
    <s v=""/>
    <s v=""/>
    <s v=""/>
    <s v=""/>
    <s v=""/>
    <s v=""/>
    <s v=""/>
    <s v="371616Newsletter Recipient"/>
    <m/>
    <x v="0"/>
  </r>
  <r>
    <n v="38299566"/>
    <b v="0"/>
    <b v="0"/>
    <b v="0"/>
    <b v="1"/>
    <b v="0"/>
    <b v="1"/>
    <b v="1"/>
    <b v="0"/>
    <b v="0"/>
    <n v="0"/>
    <n v="0"/>
    <m/>
    <d v="2018-03-26T00:00:00"/>
    <n v="32127162"/>
    <d v="2017-03-29T00:00:00"/>
    <m/>
    <m/>
    <s v=""/>
    <b v="0"/>
    <m/>
    <m/>
    <d v="2017-03-29T00:00:00"/>
    <m/>
    <n v="791522"/>
    <b v="1"/>
    <m/>
    <m/>
    <m/>
    <x v="0"/>
    <b v="1"/>
    <n v="38299566"/>
    <s v="Stephanie"/>
    <s v="Huston"/>
    <s v="Meridian Health Plan"/>
    <s v=""/>
    <s v=""/>
    <s v="Stephanie.Huston@mhplan.com"/>
    <s v="312.705.2900 x22105"/>
    <s v=""/>
    <s v=""/>
    <s v=""/>
    <s v=""/>
    <s v=""/>
    <s v=""/>
    <s v=""/>
    <s v=""/>
    <s v=""/>
    <s v=""/>
    <s v=""/>
    <s v=""/>
    <s v=""/>
    <s v=""/>
    <s v=""/>
    <s v="371616Newsletter Recipient, 420923Community Mental Health - Contracts, 420924Community Mental Health - Claims &amp; Billing, 420941Hospitals - Contracts, 420942Hospitals - Claims &amp; Billing, 420943Hospitals - Care Coordination, 420944Mental Health - Contracts, 420945Mental Health - Claims &amp; Billing, 420947Methadone Treatment - Contracts, 420948Methadone Treatment - Claims &amp; Billing, 420960Substance Use Disorder - Contracts, 420961Substance Use Disorder - Claims &amp; Billing, 420963Vision - Contracts, 420964Vision - Claims &amp; Billing"/>
    <s v="10633525Contracts, 10633526Claims/Billing, 10633527Care Coordination"/>
    <x v="0"/>
  </r>
  <r>
    <n v="37770581"/>
    <b v="0"/>
    <b v="0"/>
    <b v="0"/>
    <b v="1"/>
    <b v="0"/>
    <b v="1"/>
    <b v="1"/>
    <b v="0"/>
    <b v="0"/>
    <n v="0"/>
    <n v="0"/>
    <m/>
    <d v="2017-02-24T00:00:00"/>
    <n v="32127162"/>
    <d v="2017-02-20T00:00:00"/>
    <m/>
    <m/>
    <s v=""/>
    <b v="0"/>
    <m/>
    <m/>
    <d v="2017-02-20T00:00:00"/>
    <m/>
    <n v="791522"/>
    <b v="1"/>
    <m/>
    <m/>
    <m/>
    <x v="0"/>
    <b v="1"/>
    <n v="37770581"/>
    <s v="Toi"/>
    <s v="Hutchinson"/>
    <s v="Illinois General Assembly"/>
    <s v=""/>
    <s v="Senator Toi W. Hutchinson (D)_x000a_40th District_x0009_ _x0009__x000a__x000a_Springfield Office:_x000a_Senator 40th District_x000a_121C Capitol Building_x000a_Springfield, IL   62706_x000a_(217) 782-7419_x000a_(217) 782-5340 FAX_x000a_ _x000a_District Office:_x000a_222 Vollmer Road_x000a_Suite 2C_x000a_Chicago Heights, IL  60411_x000a_(708) 756-0882_x000a_(708) 756-0885 FAX"/>
    <s v=""/>
    <s v=""/>
    <s v=""/>
    <s v=""/>
    <s v=""/>
    <s v=""/>
    <s v="(217) 782-7419"/>
    <s v=""/>
    <s v=""/>
    <s v=""/>
    <s v=""/>
    <s v=""/>
    <s v=""/>
    <s v=""/>
    <s v=""/>
    <s v=""/>
    <s v=""/>
    <s v="371609Senator, 371616Newsletter Recipient"/>
    <m/>
    <x v="0"/>
  </r>
  <r>
    <n v="37819627"/>
    <b v="0"/>
    <b v="0"/>
    <b v="0"/>
    <b v="1"/>
    <b v="0"/>
    <b v="1"/>
    <b v="1"/>
    <b v="0"/>
    <b v="0"/>
    <n v="0"/>
    <n v="0"/>
    <m/>
    <d v="2017-12-06T00:00:00"/>
    <n v="32127162"/>
    <d v="2017-02-24T00:00:00"/>
    <m/>
    <m/>
    <s v=""/>
    <b v="0"/>
    <m/>
    <m/>
    <d v="2017-02-24T00:00:00"/>
    <m/>
    <n v="791522"/>
    <b v="1"/>
    <m/>
    <m/>
    <m/>
    <x v="0"/>
    <b v="1"/>
    <n v="37819627"/>
    <s v="Cecelia"/>
    <s v="Hylak Reinholtz"/>
    <s v="C and G"/>
    <s v=""/>
    <s v=""/>
    <s v="cecelia@candgconsult.com"/>
    <s v=""/>
    <s v=""/>
    <s v=""/>
    <s v=""/>
    <s v=""/>
    <s v=""/>
    <s v=""/>
    <s v=""/>
    <s v="Partnert"/>
    <s v=""/>
    <s v=""/>
    <s v=""/>
    <s v=""/>
    <s v=""/>
    <s v=""/>
    <s v=""/>
    <s v="371616Newsletter Recipient, 372296Legislative Committee"/>
    <m/>
    <x v="0"/>
  </r>
  <r>
    <n v="37822508"/>
    <b v="0"/>
    <b v="0"/>
    <b v="0"/>
    <b v="1"/>
    <b v="0"/>
    <b v="1"/>
    <b v="1"/>
    <b v="0"/>
    <b v="0"/>
    <n v="0"/>
    <n v="0"/>
    <m/>
    <d v="2017-02-24T00:00:00"/>
    <n v="32127162"/>
    <d v="2017-02-24T00:00:00"/>
    <m/>
    <m/>
    <s v=""/>
    <b v="0"/>
    <m/>
    <m/>
    <d v="2017-02-24T00:00:00"/>
    <m/>
    <n v="791522"/>
    <b v="1"/>
    <m/>
    <m/>
    <m/>
    <x v="0"/>
    <b v="1"/>
    <n v="37822508"/>
    <s v="Assistant to Senator Kimberly A. Lightford"/>
    <s v="I Hammons"/>
    <s v="Illinois General Assembly"/>
    <s v=""/>
    <s v=""/>
    <s v="ihammons@senatedem.ilga.gov"/>
    <s v=""/>
    <s v=""/>
    <s v=""/>
    <s v=""/>
    <s v=""/>
    <s v=""/>
    <s v=""/>
    <s v=""/>
    <s v=""/>
    <s v=""/>
    <s v=""/>
    <s v=""/>
    <s v=""/>
    <s v=""/>
    <s v=""/>
    <s v=""/>
    <s v="371616Newsletter Recipient, 372319IGA Senate Staff"/>
    <m/>
    <x v="0"/>
  </r>
  <r>
    <n v="32127162"/>
    <b v="0"/>
    <b v="0"/>
    <b v="0"/>
    <b v="1"/>
    <b v="0"/>
    <b v="1"/>
    <b v="1"/>
    <b v="0"/>
    <b v="0"/>
    <n v="0"/>
    <n v="0"/>
    <m/>
    <d v="2017-12-07T00:00:00"/>
    <n v="32127162"/>
    <d v="2016-03-23T00:00:00"/>
    <d v="2018-06-28T00:00:00"/>
    <s v="256Account administrator (Full access)"/>
    <s v="id: 85845_x000a_family_id: 76133_x000a_family_relation: Adult_x000a_allow_sms: 0_x000a_hub_membership: - Associate Members;- Full Members;IAMHP Board Meetings;IAMHP Business Members;IAMHP Children's Services;IAMHP Encounters;IAMHP Finance;IAMHP Med Directors/Quality;IAMHP Me"/>
    <b v="1"/>
    <s v="137689Subscribe to our Newsletter"/>
    <m/>
    <d v="2016-03-23T00:00:00"/>
    <m/>
    <n v="791427"/>
    <b v="1"/>
    <m/>
    <d v="2016-04-13T00:00:00"/>
    <m/>
    <x v="0"/>
    <b v="1"/>
    <n v="32127162"/>
    <s v="Misty Turnbull"/>
    <s v="IAMHP (Admin)"/>
    <s v="IAMHP Support"/>
    <s v=""/>
    <s v=""/>
    <s v="misty@a25hourday.com"/>
    <s v=""/>
    <s v=""/>
    <s v=""/>
    <s v=""/>
    <s v="3092514663"/>
    <s v=""/>
    <s v=""/>
    <s v=""/>
    <s v=""/>
    <s v="3092864663"/>
    <s v="My Contacts;Test Group;Imported 7/7/15"/>
    <s v=""/>
    <s v=""/>
    <s v=""/>
    <s v=""/>
    <s v=""/>
    <s v="405964IAMHP Staff"/>
    <m/>
    <x v="1"/>
  </r>
  <r>
    <n v="33520313"/>
    <b v="0"/>
    <b v="0"/>
    <b v="0"/>
    <b v="1"/>
    <b v="0"/>
    <b v="1"/>
    <b v="1"/>
    <b v="0"/>
    <b v="0"/>
    <n v="0"/>
    <n v="0"/>
    <m/>
    <d v="2017-02-24T00:00:00"/>
    <n v="32127162"/>
    <d v="2016-07-29T00:00:00"/>
    <d v="2017-04-28T00:00:00"/>
    <s v="256Account administrator (Full access)"/>
    <s v=""/>
    <b v="1"/>
    <m/>
    <m/>
    <d v="2016-07-28T00:00:00"/>
    <m/>
    <n v="791427"/>
    <b v="1"/>
    <m/>
    <m/>
    <m/>
    <x v="0"/>
    <b v="1"/>
    <n v="33520313"/>
    <s v="Patti"/>
    <s v="IAMHP (Admin)"/>
    <s v=""/>
    <s v=""/>
    <s v=""/>
    <s v="patti@a25hourday.com"/>
    <s v=""/>
    <s v=""/>
    <s v=""/>
    <s v=""/>
    <s v=""/>
    <s v=""/>
    <s v=""/>
    <s v=""/>
    <s v=""/>
    <s v=""/>
    <s v=""/>
    <s v=""/>
    <s v=""/>
    <s v=""/>
    <s v=""/>
    <s v=""/>
    <s v="371616Newsletter Recipient"/>
    <m/>
    <x v="1"/>
  </r>
  <r>
    <n v="44602964"/>
    <b v="0"/>
    <b v="0"/>
    <b v="0"/>
    <b v="1"/>
    <b v="0"/>
    <b v="1"/>
    <b v="1"/>
    <b v="0"/>
    <b v="0"/>
    <n v="0"/>
    <n v="0"/>
    <m/>
    <d v="2018-05-29T00:00:00"/>
    <n v="32127162"/>
    <d v="2018-04-09T00:00:00"/>
    <m/>
    <m/>
    <s v=""/>
    <b v="0"/>
    <m/>
    <m/>
    <d v="2018-04-09T00:00:00"/>
    <m/>
    <n v="791522"/>
    <b v="1"/>
    <m/>
    <d v="2018-04-09T00:00:00"/>
    <m/>
    <x v="0"/>
    <b v="1"/>
    <n v="44602964"/>
    <s v=""/>
    <s v=""/>
    <s v="IAMHP @ NextLevel"/>
    <s v=""/>
    <s v=""/>
    <s v="iamhp@nlhpartners.com"/>
    <s v=""/>
    <s v=""/>
    <s v=""/>
    <s v=""/>
    <s v=""/>
    <s v=""/>
    <s v=""/>
    <s v=""/>
    <s v=""/>
    <s v=""/>
    <s v=""/>
    <s v=""/>
    <s v=""/>
    <s v=""/>
    <s v=""/>
    <s v=""/>
    <s v="335700Behavioral Health - Vendor Contact, 335736Provider Relations - Committee Members, 335745Quality Directors, 372293Quality Committee, 372294Finance Committee, 372295Board of Directors/General Distribution List, 372296Legislative Committee, 372297Operations Committee, 372298Operations Transportation Subcommittee, 372306Marketing Committee, 372312IHA-IAMHP Working Group, 372314Pharmacy Director, 3767711115 Workgroup, 420889Executive Committee, 428788Pharmacy Director Committee, 447857HFS Ops Workgroup"/>
    <m/>
    <x v="0"/>
  </r>
  <r>
    <n v="32090502"/>
    <b v="0"/>
    <b v="0"/>
    <b v="0"/>
    <b v="1"/>
    <b v="0"/>
    <b v="1"/>
    <b v="1"/>
    <b v="0"/>
    <b v="0"/>
    <n v="0"/>
    <n v="0"/>
    <m/>
    <d v="2018-06-28T00:00:00"/>
    <n v="32127162"/>
    <d v="2016-03-22T00:00:00"/>
    <d v="2018-06-27T00:00:00"/>
    <s v="256Account administrator (Full access)"/>
    <s v=""/>
    <b v="1"/>
    <s v="137689Subscribe to our Newsletter"/>
    <m/>
    <d v="2016-03-23T00:00:00"/>
    <m/>
    <n v="791427"/>
    <b v="1"/>
    <m/>
    <d v="2016-04-13T00:00:00"/>
    <m/>
    <x v="0"/>
    <b v="1"/>
    <n v="32090502"/>
    <s v=""/>
    <s v="IAMHP Support"/>
    <s v="Illinois Association of Medicaid Health Plans (IAMHP)"/>
    <s v=""/>
    <s v=""/>
    <s v="support@iamhpteam.org"/>
    <s v=""/>
    <s v=""/>
    <s v=""/>
    <s v=""/>
    <s v=""/>
    <s v=""/>
    <s v=""/>
    <s v=""/>
    <s v=""/>
    <s v=""/>
    <s v="My Contacts;CMO - Chief Medical Officer;FQHC Contacts;IHA/IAMHP Working Group;Membership &amp; Education;Exec Committee;COOs - Chief Operating Officer;Encounters Committee;Compliance Committee;CFO - Chief"/>
    <s v=""/>
    <s v=""/>
    <s v=""/>
    <s v=""/>
    <s v=""/>
    <s v="335736Provider Relations - Committee Members, 335741Chief Executive Officer, 335742Chief Financial Officer, 335743Chief Operating Officer, 335744Chief Medical Officer, 335745Quality Directors, 335746Encounters Expert, 335747Government Relations, 350522Compliance Officer, 372292Medical Directors, 372293Quality Committee, 372294Finance Committee, 372295Board of Directors/General Distribution List, 372296Legislative Committee, 372297Operations Committee, 372298Operations Transportation Subcommittee, 372306Marketing Committee, 372307Membership &amp; Education, 372311Business Member, 372312IHA-IAMHP Working Group, 372313MCO Contact List for IHA, 372314Pharmacy Director, 3767711115 Workgroup, 420889Executive Committee, 420902Monthly Poll Contacts, 420911IAMHP Leadership, 420915HFS OIG - Transportation Brokers, 428250Hospital Assessment, 428788Pharmacy Director Committee, 443813Discharge Planning, 447857HFS Ops Workgroup"/>
    <m/>
    <x v="1"/>
  </r>
  <r>
    <n v="37819628"/>
    <b v="0"/>
    <b v="0"/>
    <b v="0"/>
    <b v="1"/>
    <b v="0"/>
    <b v="1"/>
    <b v="1"/>
    <b v="0"/>
    <b v="0"/>
    <n v="0"/>
    <n v="0"/>
    <m/>
    <d v="2017-09-18T00:00:00"/>
    <n v="32127162"/>
    <d v="2017-02-24T00:00:00"/>
    <m/>
    <m/>
    <s v=""/>
    <b v="0"/>
    <m/>
    <m/>
    <d v="2017-02-24T00:00:00"/>
    <m/>
    <n v="791522"/>
    <b v="1"/>
    <m/>
    <m/>
    <m/>
    <x v="0"/>
    <b v="1"/>
    <n v="37819628"/>
    <s v="Ollie"/>
    <s v="Idowu Sr."/>
    <s v="Harmony Health Plan of Illinois - A WellCare Company"/>
    <s v=""/>
    <s v=""/>
    <s v="ollie.idowu@wellcare.com"/>
    <s v=""/>
    <s v=""/>
    <s v=""/>
    <s v=""/>
    <s v=""/>
    <s v=""/>
    <s v=""/>
    <s v=""/>
    <s v="Director Regulator Affairs"/>
    <s v=""/>
    <s v=""/>
    <s v=""/>
    <s v=""/>
    <s v=""/>
    <s v=""/>
    <s v=""/>
    <s v="371616Newsletter Recipient, 372295Board of Directors/General Distribution List"/>
    <m/>
    <x v="0"/>
  </r>
  <r>
    <n v="37822530"/>
    <b v="0"/>
    <b v="0"/>
    <b v="0"/>
    <b v="1"/>
    <b v="0"/>
    <b v="1"/>
    <b v="1"/>
    <b v="0"/>
    <b v="0"/>
    <n v="0"/>
    <n v="0"/>
    <m/>
    <d v="2017-02-24T00:00:00"/>
    <n v="32127162"/>
    <d v="2017-02-24T00:00:00"/>
    <m/>
    <m/>
    <s v=""/>
    <b v="0"/>
    <m/>
    <m/>
    <d v="2017-02-24T00:00:00"/>
    <m/>
    <n v="791522"/>
    <b v="1"/>
    <m/>
    <m/>
    <m/>
    <x v="0"/>
    <b v="1"/>
    <n v="37822530"/>
    <s v="Assistant to Senator John G. Mulroe"/>
    <s v="Iktava"/>
    <s v="Illinois General Assembly"/>
    <s v=""/>
    <s v=""/>
    <s v="lkatava@senatedem.ilga.gov"/>
    <s v=""/>
    <s v=""/>
    <s v=""/>
    <s v=""/>
    <s v=""/>
    <s v=""/>
    <s v=""/>
    <s v=""/>
    <s v=""/>
    <s v=""/>
    <s v=""/>
    <s v=""/>
    <s v=""/>
    <s v=""/>
    <s v=""/>
    <s v=""/>
    <s v="371616Newsletter Recipient, 372319IGA Senate Staff"/>
    <m/>
    <x v="0"/>
  </r>
  <r>
    <n v="39391782"/>
    <b v="0"/>
    <b v="0"/>
    <b v="0"/>
    <b v="1"/>
    <b v="0"/>
    <b v="1"/>
    <b v="1"/>
    <b v="0"/>
    <b v="0"/>
    <n v="0"/>
    <n v="0"/>
    <m/>
    <d v="2017-06-21T00:00:00"/>
    <n v="32127162"/>
    <d v="2017-06-20T00:00:00"/>
    <m/>
    <m/>
    <s v=""/>
    <b v="0"/>
    <m/>
    <m/>
    <d v="2017-06-20T00:00:00"/>
    <m/>
    <n v="791522"/>
    <b v="1"/>
    <m/>
    <m/>
    <m/>
    <x v="0"/>
    <b v="1"/>
    <n v="39391782"/>
    <s v="Malea"/>
    <s v="Immergluck"/>
    <s v="Northwestern Medicine"/>
    <s v=""/>
    <s v=""/>
    <s v="malea.immergluck@nm.org"/>
    <s v=""/>
    <s v=""/>
    <s v=""/>
    <s v=""/>
    <s v=""/>
    <s v=""/>
    <s v=""/>
    <s v=""/>
    <s v=""/>
    <s v=""/>
    <s v=""/>
    <s v=""/>
    <s v=""/>
    <s v=""/>
    <s v=""/>
    <s v=""/>
    <s v="371616Newsletter Recipient"/>
    <m/>
    <x v="0"/>
  </r>
  <r>
    <n v="46480985"/>
    <b v="0"/>
    <b v="0"/>
    <b v="0"/>
    <b v="1"/>
    <b v="0"/>
    <b v="1"/>
    <b v="1"/>
    <b v="0"/>
    <b v="0"/>
    <n v="0"/>
    <n v="0"/>
    <m/>
    <d v="2018-06-22T00:00:00"/>
    <n v="32127162"/>
    <d v="2018-06-22T00:00:00"/>
    <m/>
    <m/>
    <s v=""/>
    <b v="0"/>
    <m/>
    <m/>
    <d v="2018-06-22T00:00:00"/>
    <m/>
    <n v="791522"/>
    <b v="1"/>
    <m/>
    <d v="2018-06-22T00:00:00"/>
    <m/>
    <x v="0"/>
    <b v="1"/>
    <n v="46480985"/>
    <s v=""/>
    <s v="Integrated Care Management"/>
    <s v="NextLevel Health"/>
    <s v=""/>
    <s v=""/>
    <s v="icm@nlhpartners.com"/>
    <s v=""/>
    <s v=""/>
    <s v=""/>
    <s v=""/>
    <s v=""/>
    <s v=""/>
    <s v=""/>
    <s v="NextLevel Health"/>
    <s v=""/>
    <s v=""/>
    <s v=""/>
    <s v=""/>
    <s v=""/>
    <s v=""/>
    <s v=""/>
    <s v=""/>
    <s v="336131Children's Services - Care Coordination, 420931Durable Medical Equipment - Care Coordination, 420934FQHC - Care Coordination, 420937Home Health - Care Coordination, 420940Hospice - Care Coordination, 420943Hospitals - Care Coordination, 420949Methadone Treatment - Care Coordination, 420952Physicians - Care Coordination, 420955Public Health Department - Care Coordination, 420959Redetermination Point Person - Care Coordination, 420962Substance Use Disorder - Care Coordination, 420969Transportation - Care Coordination, 420989LTC - Care Coordination"/>
    <s v="10633527Care Coordination"/>
    <x v="0"/>
  </r>
  <r>
    <n v="34514311"/>
    <b v="0"/>
    <b v="0"/>
    <b v="0"/>
    <b v="1"/>
    <b v="0"/>
    <b v="1"/>
    <b v="1"/>
    <b v="0"/>
    <b v="0"/>
    <n v="0"/>
    <n v="0"/>
    <m/>
    <d v="2018-05-04T00:00:00"/>
    <n v="32127162"/>
    <d v="2016-09-16T00:00:00"/>
    <m/>
    <m/>
    <s v=""/>
    <b v="0"/>
    <m/>
    <m/>
    <d v="2016-09-15T00:00:00"/>
    <m/>
    <n v="791522"/>
    <b v="1"/>
    <m/>
    <m/>
    <m/>
    <x v="0"/>
    <b v="1"/>
    <n v="34514311"/>
    <s v="Greg"/>
    <s v="Irby"/>
    <s v="Harmony Health Plan of Illinois - A WellCare Company"/>
    <s v=""/>
    <s v=""/>
    <s v="Girby@mtm-inc.net"/>
    <s v="877-248-1338"/>
    <s v=""/>
    <s v=""/>
    <s v=""/>
    <s v=""/>
    <s v=""/>
    <s v=""/>
    <s v=""/>
    <s v=""/>
    <s v=""/>
    <s v=""/>
    <s v=""/>
    <s v=""/>
    <s v=""/>
    <s v=""/>
    <s v=""/>
    <s v="371616Newsletter Recipient"/>
    <m/>
    <x v="0"/>
  </r>
  <r>
    <n v="43277082"/>
    <b v="0"/>
    <b v="0"/>
    <b v="0"/>
    <b v="1"/>
    <b v="0"/>
    <b v="1"/>
    <b v="1"/>
    <b v="0"/>
    <b v="0"/>
    <n v="0"/>
    <n v="0"/>
    <m/>
    <d v="2018-02-12T00:00:00"/>
    <n v="32127162"/>
    <d v="2018-01-16T00:00:00"/>
    <m/>
    <m/>
    <s v=""/>
    <b v="0"/>
    <m/>
    <m/>
    <d v="2018-01-16T00:00:00"/>
    <m/>
    <n v="791522"/>
    <b v="1"/>
    <m/>
    <d v="2018-01-16T00:00:00"/>
    <m/>
    <x v="0"/>
    <b v="1"/>
    <n v="43277082"/>
    <s v="Olusegun"/>
    <s v="Ishmael"/>
    <s v="besafemeds/Q-Me 24-7"/>
    <s v=""/>
    <s v=""/>
    <s v="segun@besafemeds.com"/>
    <s v="312-841-0083"/>
    <s v=""/>
    <s v=""/>
    <s v=""/>
    <s v=""/>
    <s v=""/>
    <s v=""/>
    <s v=""/>
    <s v="CMO"/>
    <s v=""/>
    <s v=""/>
    <s v=""/>
    <s v=""/>
    <s v=""/>
    <s v=""/>
    <s v=""/>
    <s v="371616Newsletter Recipient, 372311Business Member"/>
    <m/>
    <x v="0"/>
  </r>
  <r>
    <n v="37822825"/>
    <b v="0"/>
    <b v="0"/>
    <b v="0"/>
    <b v="1"/>
    <b v="0"/>
    <b v="1"/>
    <b v="1"/>
    <b v="0"/>
    <b v="0"/>
    <n v="0"/>
    <n v="0"/>
    <m/>
    <d v="2017-02-24T00:00:00"/>
    <n v="32127162"/>
    <d v="2017-02-24T00:00:00"/>
    <m/>
    <m/>
    <s v=""/>
    <b v="0"/>
    <m/>
    <m/>
    <d v="2017-02-24T00:00:00"/>
    <m/>
    <n v="791522"/>
    <b v="1"/>
    <m/>
    <m/>
    <m/>
    <x v="0"/>
    <b v="1"/>
    <n v="37822825"/>
    <s v="Mark"/>
    <s v="Ishuag"/>
    <s v="Thresholds"/>
    <s v=""/>
    <s v=""/>
    <s v="mark.ishaug@thresholds.org"/>
    <s v=""/>
    <s v=""/>
    <s v=""/>
    <s v=""/>
    <s v=""/>
    <s v=""/>
    <s v=""/>
    <s v=""/>
    <s v=""/>
    <s v=""/>
    <s v=""/>
    <s v=""/>
    <s v=""/>
    <s v=""/>
    <s v=""/>
    <s v=""/>
    <s v="371616Newsletter Recipient"/>
    <m/>
    <x v="0"/>
  </r>
  <r>
    <n v="37819631"/>
    <b v="0"/>
    <b v="0"/>
    <b v="0"/>
    <b v="1"/>
    <b v="0"/>
    <b v="1"/>
    <b v="1"/>
    <b v="0"/>
    <b v="0"/>
    <n v="0"/>
    <n v="0"/>
    <m/>
    <d v="2017-02-24T00:00:00"/>
    <n v="32127162"/>
    <d v="2017-02-24T00:00:00"/>
    <m/>
    <m/>
    <s v=""/>
    <b v="0"/>
    <m/>
    <m/>
    <d v="2017-02-24T00:00:00"/>
    <m/>
    <n v="791522"/>
    <b v="1"/>
    <m/>
    <m/>
    <m/>
    <x v="0"/>
    <b v="1"/>
    <n v="37819631"/>
    <s v="Nadeen"/>
    <s v="Israel"/>
    <s v="EverThrive Illinois"/>
    <s v=""/>
    <s v=""/>
    <s v="nisrael@everthriveil.org"/>
    <s v=""/>
    <s v=""/>
    <s v=""/>
    <s v=""/>
    <s v=""/>
    <s v=""/>
    <s v=""/>
    <s v=""/>
    <s v="Policy Director"/>
    <s v=""/>
    <s v=""/>
    <s v=""/>
    <s v=""/>
    <s v=""/>
    <s v=""/>
    <s v=""/>
    <s v="371616Newsletter Recipient"/>
    <m/>
    <x v="0"/>
  </r>
  <r>
    <n v="37779205"/>
    <b v="0"/>
    <b v="0"/>
    <b v="0"/>
    <b v="1"/>
    <b v="0"/>
    <b v="1"/>
    <b v="1"/>
    <b v="0"/>
    <b v="0"/>
    <n v="0"/>
    <n v="0"/>
    <m/>
    <d v="2017-02-24T00:00:00"/>
    <n v="32127162"/>
    <d v="2017-02-21T00:00:00"/>
    <m/>
    <m/>
    <s v=""/>
    <b v="0"/>
    <m/>
    <m/>
    <d v="2017-02-20T00:00:00"/>
    <m/>
    <n v="791522"/>
    <b v="1"/>
    <m/>
    <m/>
    <m/>
    <x v="0"/>
    <b v="1"/>
    <n v="37779205"/>
    <s v="Jeanne"/>
    <s v="Ives"/>
    <s v="Illinois General Assembly"/>
    <s v=""/>
    <s v="Representative Jeanne M Ives (R)_x000a_42nd District_x0009_ _x0009__x000a__x000a_Springfield Office:_x000a_218-N Stratton Office Building_x000a_Springfield, IL   62706_x000a_(217) 558-1037_x000a_(217) 782-1275 FAX_x000a__x000a_District Office:_x000a_(630) 384-9719"/>
    <s v="Ives@jeanneives.org"/>
    <s v=""/>
    <s v=""/>
    <s v=""/>
    <s v=""/>
    <s v=""/>
    <s v=""/>
    <s v=""/>
    <s v=""/>
    <s v=""/>
    <s v=""/>
    <s v=""/>
    <s v=""/>
    <s v=""/>
    <s v=""/>
    <s v=""/>
    <s v=""/>
    <s v="371616Newsletter Recipient, 371627House of Representatives"/>
    <m/>
    <x v="0"/>
  </r>
  <r>
    <n v="39537558"/>
    <b v="0"/>
    <b v="0"/>
    <b v="0"/>
    <b v="1"/>
    <b v="0"/>
    <b v="1"/>
    <b v="1"/>
    <b v="0"/>
    <b v="0"/>
    <n v="0"/>
    <n v="0"/>
    <m/>
    <d v="2018-05-09T00:00:00"/>
    <n v="32127162"/>
    <d v="2017-06-28T00:00:00"/>
    <m/>
    <m/>
    <s v=""/>
    <b v="0"/>
    <m/>
    <m/>
    <d v="2017-06-28T00:00:00"/>
    <m/>
    <n v="791522"/>
    <b v="1"/>
    <m/>
    <m/>
    <m/>
    <x v="0"/>
    <b v="1"/>
    <n v="39537558"/>
    <s v="Ashley"/>
    <s v="Jackson"/>
    <s v="IlliniCare Health"/>
    <s v=""/>
    <s v=""/>
    <s v="Ashley.A.Jackson@illinicare.com"/>
    <s v="630.601.0667"/>
    <s v=""/>
    <s v=""/>
    <s v=""/>
    <s v=""/>
    <s v="866.329.4701 ext 48130"/>
    <s v=""/>
    <s v=""/>
    <s v=""/>
    <s v=""/>
    <s v=""/>
    <s v=""/>
    <s v=""/>
    <s v=""/>
    <s v=""/>
    <s v=""/>
    <s v="371616Newsletter Recipient, 420967Transportation - Contracts, 420968Transportation - Claims &amp; Billing, 420969Transportation - Care Coordination"/>
    <s v="10633525Contracts, 10633526Claims/Billing, 10633527Care Coordination"/>
    <x v="0"/>
  </r>
  <r>
    <n v="34514263"/>
    <b v="0"/>
    <b v="0"/>
    <b v="0"/>
    <b v="1"/>
    <b v="0"/>
    <b v="1"/>
    <b v="1"/>
    <b v="0"/>
    <b v="0"/>
    <n v="0"/>
    <n v="0"/>
    <m/>
    <d v="2018-06-29T00:00:00"/>
    <n v="32127162"/>
    <d v="2016-09-16T00:00:00"/>
    <m/>
    <m/>
    <s v=""/>
    <b v="0"/>
    <m/>
    <m/>
    <d v="2016-09-15T00:00:00"/>
    <m/>
    <n v="791522"/>
    <b v="1"/>
    <m/>
    <m/>
    <m/>
    <x v="0"/>
    <b v="1"/>
    <n v="34514263"/>
    <s v="Luenetta"/>
    <s v="Jackson"/>
    <s v="CountyCare Health Plan"/>
    <s v=""/>
    <s v=""/>
    <s v="luenetta.jackson@cookcountyhhs.org"/>
    <s v=""/>
    <s v=""/>
    <s v=""/>
    <s v=""/>
    <s v=""/>
    <s v=""/>
    <s v=""/>
    <s v="CountyCare Health Plan"/>
    <s v=""/>
    <s v=""/>
    <s v=""/>
    <s v=""/>
    <s v=""/>
    <s v=""/>
    <s v=""/>
    <s v=""/>
    <s v="371616Newsletter Recipient, 372314Pharmacy Director, 428788Pharmacy Director Committee"/>
    <m/>
    <x v="0"/>
  </r>
  <r>
    <n v="44027165"/>
    <b v="0"/>
    <b v="0"/>
    <b v="0"/>
    <b v="1"/>
    <b v="0"/>
    <b v="1"/>
    <b v="1"/>
    <b v="0"/>
    <b v="0"/>
    <n v="0"/>
    <n v="0"/>
    <m/>
    <d v="2018-05-09T00:00:00"/>
    <n v="32127162"/>
    <d v="2018-03-02T00:00:00"/>
    <m/>
    <m/>
    <s v=""/>
    <b v="0"/>
    <m/>
    <m/>
    <d v="2018-03-02T00:00:00"/>
    <m/>
    <n v="791522"/>
    <b v="1"/>
    <m/>
    <d v="2018-03-02T00:00:00"/>
    <m/>
    <x v="0"/>
    <b v="1"/>
    <n v="44027165"/>
    <s v="Shatina"/>
    <s v="Jackson"/>
    <s v="IlliniCare Health"/>
    <s v=""/>
    <s v=""/>
    <s v="shatjackson@illinicare.com"/>
    <s v="312.497.7996"/>
    <s v=""/>
    <s v=""/>
    <s v=""/>
    <s v=""/>
    <s v=""/>
    <s v=""/>
    <s v=""/>
    <s v=""/>
    <s v=""/>
    <s v=""/>
    <s v=""/>
    <s v=""/>
    <s v=""/>
    <s v=""/>
    <s v=""/>
    <s v="420950Physicians - Contracts, 420951Physicians - Claims &amp; Billing, 420952Physicians - Care Coordination"/>
    <s v="10633525Contracts, 10633526Claims/Billing, 10633527Care Coordination"/>
    <x v="0"/>
  </r>
  <r>
    <n v="39194821"/>
    <b v="0"/>
    <b v="0"/>
    <b v="0"/>
    <b v="1"/>
    <b v="0"/>
    <b v="1"/>
    <b v="1"/>
    <b v="0"/>
    <b v="0"/>
    <n v="0"/>
    <n v="0"/>
    <m/>
    <d v="2017-06-21T00:00:00"/>
    <n v="32127162"/>
    <d v="2017-06-02T00:00:00"/>
    <m/>
    <m/>
    <s v=""/>
    <b v="0"/>
    <m/>
    <m/>
    <d v="2017-06-02T00:00:00"/>
    <m/>
    <n v="791522"/>
    <b v="1"/>
    <m/>
    <m/>
    <m/>
    <x v="0"/>
    <b v="1"/>
    <n v="39194821"/>
    <s v="Gary"/>
    <s v="Jahnke"/>
    <s v="Rockford Regional Health Council"/>
    <s v="Administrative Assistant"/>
    <s v="Gary J. Jahnke_x000a_Administrative Assistant_x000a_Rockford Regional Health Council_x000a_1601 Parkview Avenue_x000a_Rockford, IL  61107_x000a_e-m: gary@rockfordhealth.org_x000a_ph: (815) 395-5702_x000a_FAX (815) 395-5706"/>
    <s v="gary@rockfordhealth.org"/>
    <s v=""/>
    <s v="J."/>
    <s v=""/>
    <s v=""/>
    <s v=""/>
    <s v="(815) 395-5702"/>
    <s v="(815) 395-5706"/>
    <s v=""/>
    <s v=""/>
    <s v=""/>
    <s v=""/>
    <s v=""/>
    <s v=""/>
    <s v=""/>
    <s v=""/>
    <s v=""/>
    <s v="371616Newsletter Recipient"/>
    <m/>
    <x v="0"/>
  </r>
  <r>
    <n v="37822546"/>
    <b v="0"/>
    <b v="0"/>
    <b v="0"/>
    <b v="1"/>
    <b v="0"/>
    <b v="1"/>
    <b v="1"/>
    <b v="0"/>
    <b v="0"/>
    <n v="0"/>
    <n v="0"/>
    <m/>
    <d v="2017-02-24T00:00:00"/>
    <n v="32127162"/>
    <d v="2017-02-24T00:00:00"/>
    <m/>
    <m/>
    <s v=""/>
    <b v="0"/>
    <m/>
    <m/>
    <d v="2017-02-24T00:00:00"/>
    <m/>
    <n v="791522"/>
    <b v="1"/>
    <m/>
    <m/>
    <m/>
    <x v="0"/>
    <b v="1"/>
    <n v="37822546"/>
    <s v="Lashun"/>
    <s v="James"/>
    <s v=""/>
    <s v=""/>
    <s v=""/>
    <s v="ljames@addus.com"/>
    <s v=""/>
    <s v=""/>
    <s v=""/>
    <s v=""/>
    <s v=""/>
    <s v=""/>
    <s v=""/>
    <s v=""/>
    <s v=""/>
    <s v=""/>
    <s v=""/>
    <s v=""/>
    <s v=""/>
    <s v=""/>
    <s v=""/>
    <s v=""/>
    <s v="371616Newsletter Recipient"/>
    <m/>
    <x v="0"/>
  </r>
  <r>
    <n v="42678191"/>
    <b v="0"/>
    <b v="0"/>
    <b v="0"/>
    <b v="1"/>
    <b v="0"/>
    <b v="1"/>
    <b v="1"/>
    <b v="0"/>
    <b v="0"/>
    <n v="0"/>
    <n v="0"/>
    <m/>
    <d v="2017-11-17T00:00:00"/>
    <n v="32127162"/>
    <d v="2017-11-17T00:00:00"/>
    <m/>
    <m/>
    <s v=""/>
    <b v="0"/>
    <m/>
    <m/>
    <d v="2017-11-17T00:00:00"/>
    <m/>
    <n v="791522"/>
    <b v="1"/>
    <m/>
    <d v="2017-11-17T00:00:00"/>
    <m/>
    <x v="0"/>
    <b v="1"/>
    <n v="42678191"/>
    <s v="Melissa"/>
    <s v="Jamison"/>
    <s v="Harrisburg Medical Center"/>
    <s v=""/>
    <s v=""/>
    <s v="mjamison@harrisburgmc.com"/>
    <s v=""/>
    <s v=""/>
    <s v=""/>
    <s v=""/>
    <s v=""/>
    <s v=""/>
    <s v=""/>
    <s v="Harrisburg Medical Center"/>
    <s v=""/>
    <s v=""/>
    <s v=""/>
    <s v=""/>
    <s v=""/>
    <s v=""/>
    <s v=""/>
    <s v=""/>
    <s v="371616Newsletter Recipient"/>
    <m/>
    <x v="0"/>
  </r>
  <r>
    <n v="37819633"/>
    <b v="0"/>
    <b v="0"/>
    <b v="0"/>
    <b v="1"/>
    <b v="0"/>
    <b v="1"/>
    <b v="1"/>
    <b v="0"/>
    <b v="0"/>
    <n v="0"/>
    <n v="0"/>
    <m/>
    <d v="2017-02-24T00:00:00"/>
    <n v="32127162"/>
    <d v="2017-02-24T00:00:00"/>
    <m/>
    <m/>
    <s v=""/>
    <b v="0"/>
    <m/>
    <m/>
    <d v="2017-02-24T00:00:00"/>
    <m/>
    <n v="791522"/>
    <b v="1"/>
    <m/>
    <m/>
    <m/>
    <x v="0"/>
    <b v="1"/>
    <n v="37819633"/>
    <s v="Hermilo"/>
    <s v="Jazmines"/>
    <s v="Harmony Health Plan of Illinois - A WellCare Company"/>
    <s v="Dr."/>
    <s v=""/>
    <s v="Hermilo.Jazmines@wellcare.com"/>
    <s v=""/>
    <s v=""/>
    <s v=""/>
    <s v=""/>
    <s v=""/>
    <s v=""/>
    <s v=""/>
    <s v=""/>
    <s v="Chief Medical Officer"/>
    <s v=""/>
    <s v=""/>
    <s v=""/>
    <s v=""/>
    <s v=""/>
    <s v=""/>
    <s v=""/>
    <s v="371616Newsletter Recipient"/>
    <m/>
    <x v="0"/>
  </r>
  <r>
    <n v="44047399"/>
    <b v="0"/>
    <b v="0"/>
    <b v="0"/>
    <b v="1"/>
    <b v="0"/>
    <b v="1"/>
    <b v="1"/>
    <b v="0"/>
    <b v="0"/>
    <n v="0"/>
    <n v="0"/>
    <m/>
    <d v="2018-03-02T00:00:00"/>
    <n v="32127162"/>
    <d v="2018-03-02T00:00:00"/>
    <m/>
    <m/>
    <s v=""/>
    <b v="0"/>
    <m/>
    <m/>
    <d v="2018-03-02T00:00:00"/>
    <m/>
    <n v="791522"/>
    <b v="1"/>
    <m/>
    <d v="2018-03-02T00:00:00"/>
    <m/>
    <x v="0"/>
    <b v="1"/>
    <n v="44047399"/>
    <s v="Shawn"/>
    <s v="Jeffers"/>
    <s v="Little City"/>
    <s v=""/>
    <s v=""/>
    <s v="sjeffers@littlecity.org"/>
    <s v=""/>
    <s v="E."/>
    <s v=""/>
    <s v=""/>
    <s v=""/>
    <s v=""/>
    <s v=""/>
    <s v=""/>
    <s v=""/>
    <s v=""/>
    <s v=""/>
    <s v=""/>
    <s v=""/>
    <s v=""/>
    <s v=""/>
    <s v=""/>
    <s v="371616Newsletter Recipient"/>
    <m/>
    <x v="0"/>
  </r>
  <r>
    <n v="43835529"/>
    <b v="0"/>
    <b v="0"/>
    <b v="0"/>
    <b v="1"/>
    <b v="0"/>
    <b v="1"/>
    <b v="1"/>
    <b v="0"/>
    <b v="0"/>
    <n v="0"/>
    <n v="0"/>
    <m/>
    <d v="2018-02-19T00:00:00"/>
    <n v="32127162"/>
    <d v="2018-02-19T00:00:00"/>
    <m/>
    <m/>
    <s v=""/>
    <b v="0"/>
    <m/>
    <m/>
    <d v="2018-02-19T00:00:00"/>
    <m/>
    <n v="791522"/>
    <b v="1"/>
    <m/>
    <d v="2018-02-19T00:00:00"/>
    <m/>
    <x v="0"/>
    <b v="1"/>
    <n v="43835529"/>
    <s v="Erin"/>
    <s v="Jennings"/>
    <s v="Adams County Health Department"/>
    <s v=""/>
    <s v=""/>
    <s v="ejennings@co.adams.il.us"/>
    <s v=""/>
    <s v=""/>
    <s v=""/>
    <s v=""/>
    <s v=""/>
    <s v=""/>
    <s v=""/>
    <s v=""/>
    <s v=""/>
    <s v=""/>
    <s v=""/>
    <s v=""/>
    <s v=""/>
    <s v=""/>
    <s v=""/>
    <s v=""/>
    <s v="371616Newsletter Recipient"/>
    <m/>
    <x v="0"/>
  </r>
  <r>
    <n v="37779208"/>
    <b v="0"/>
    <b v="0"/>
    <b v="0"/>
    <b v="1"/>
    <b v="0"/>
    <b v="1"/>
    <b v="1"/>
    <b v="0"/>
    <b v="0"/>
    <n v="0"/>
    <n v="0"/>
    <m/>
    <d v="2017-02-24T00:00:00"/>
    <n v="32127162"/>
    <d v="2017-02-21T00:00:00"/>
    <m/>
    <m/>
    <s v=""/>
    <b v="0"/>
    <m/>
    <m/>
    <d v="2017-02-20T00:00:00"/>
    <m/>
    <n v="791522"/>
    <b v="1"/>
    <m/>
    <m/>
    <m/>
    <x v="0"/>
    <b v="1"/>
    <n v="37779208"/>
    <s v="Sheri"/>
    <s v="Jesiel"/>
    <s v="Illinois General Assembly"/>
    <s v=""/>
    <s v="Representative Sheri Jesiel (R)_x000a_61st District_x0009__x000a__x000a_Springfield Office:_x000a_223-N Stratton Office Building_x000a_Springfield, IL   62706_x000a_(217) 782-8151_x000a_(217) 782-1141 FAX_x000a__x000a_District Office:_x000a_959 N. Main Street_x000a_Suite 1_x000a_Antioch, IL  60002_x000a_(847) 395-8000_x000a_(847) 395-8300 FAX"/>
    <s v="jesiel@ilhousegop.org"/>
    <s v=""/>
    <s v=""/>
    <s v=""/>
    <s v=""/>
    <s v=""/>
    <s v=""/>
    <s v=""/>
    <s v=""/>
    <s v=""/>
    <s v=""/>
    <s v=""/>
    <s v=""/>
    <s v=""/>
    <s v=""/>
    <s v=""/>
    <s v=""/>
    <s v="371616Newsletter Recipient, 371627House of Representatives"/>
    <m/>
    <x v="0"/>
  </r>
  <r>
    <n v="37822486"/>
    <b v="0"/>
    <b v="0"/>
    <b v="0"/>
    <b v="1"/>
    <b v="0"/>
    <b v="1"/>
    <b v="1"/>
    <b v="0"/>
    <b v="0"/>
    <n v="0"/>
    <n v="0"/>
    <m/>
    <d v="2017-02-24T00:00:00"/>
    <n v="32127162"/>
    <d v="2017-02-24T00:00:00"/>
    <m/>
    <m/>
    <s v=""/>
    <b v="0"/>
    <m/>
    <m/>
    <d v="2017-02-24T00:00:00"/>
    <m/>
    <n v="791522"/>
    <b v="1"/>
    <m/>
    <m/>
    <m/>
    <x v="0"/>
    <b v="1"/>
    <n v="37822486"/>
    <s v="Assistant for Senator Bill Cunningham"/>
    <s v="Joan"/>
    <s v="Illinois General Assembly"/>
    <s v=""/>
    <s v=""/>
    <s v="joan@billcunningham.com"/>
    <s v=""/>
    <s v=""/>
    <s v=""/>
    <s v=""/>
    <s v=""/>
    <s v=""/>
    <s v=""/>
    <s v=""/>
    <s v=""/>
    <s v=""/>
    <s v=""/>
    <s v=""/>
    <s v=""/>
    <s v=""/>
    <s v=""/>
    <s v=""/>
    <s v="371616Newsletter Recipient, 372319IGA Senate Staff"/>
    <m/>
    <x v="0"/>
  </r>
  <r>
    <n v="44790587"/>
    <b v="0"/>
    <b v="0"/>
    <b v="0"/>
    <b v="1"/>
    <b v="0"/>
    <b v="1"/>
    <b v="1"/>
    <b v="0"/>
    <b v="0"/>
    <n v="0"/>
    <n v="0"/>
    <m/>
    <d v="2018-04-24T00:00:00"/>
    <n v="32127162"/>
    <d v="2018-04-24T00:00:00"/>
    <m/>
    <m/>
    <s v=""/>
    <b v="0"/>
    <m/>
    <m/>
    <d v="2018-04-24T00:00:00"/>
    <m/>
    <n v="791522"/>
    <b v="1"/>
    <m/>
    <d v="2018-04-24T00:00:00"/>
    <m/>
    <x v="0"/>
    <b v="1"/>
    <n v="44790587"/>
    <s v="Eric"/>
    <s v="Johns"/>
    <s v="Meridian Health Plan"/>
    <s v=""/>
    <s v=""/>
    <s v="eric.johns@mhplan.com"/>
    <s v=""/>
    <s v=""/>
    <s v=""/>
    <s v=""/>
    <s v=""/>
    <s v=""/>
    <s v=""/>
    <s v="Meridian Health Plan"/>
    <s v=""/>
    <s v=""/>
    <s v=""/>
    <s v=""/>
    <s v=""/>
    <s v=""/>
    <s v=""/>
    <s v=""/>
    <s v="371616Newsletter Recipient, 441580Compliance Committee"/>
    <m/>
    <x v="0"/>
  </r>
  <r>
    <n v="34090316"/>
    <b v="0"/>
    <b v="0"/>
    <b v="0"/>
    <b v="1"/>
    <b v="0"/>
    <b v="1"/>
    <b v="1"/>
    <b v="0"/>
    <b v="0"/>
    <n v="0"/>
    <n v="0"/>
    <m/>
    <d v="2017-06-28T00:00:00"/>
    <n v="32127162"/>
    <d v="2016-08-29T00:00:00"/>
    <m/>
    <m/>
    <s v=""/>
    <b v="0"/>
    <m/>
    <m/>
    <d v="2016-08-29T00:00:00"/>
    <m/>
    <n v="791522"/>
    <b v="1"/>
    <m/>
    <m/>
    <m/>
    <x v="0"/>
    <b v="1"/>
    <n v="34090316"/>
    <s v="Angela"/>
    <s v="Johnson"/>
    <s v="Harmony Health Plan of Illinois - A WellCare Company"/>
    <s v=""/>
    <s v=""/>
    <s v="Angela.Johnson1@wellcare.com"/>
    <s v="312-516-4960"/>
    <s v=""/>
    <s v=""/>
    <s v=""/>
    <s v=""/>
    <s v=""/>
    <s v=""/>
    <s v=""/>
    <s v=""/>
    <s v=""/>
    <s v=""/>
    <s v=""/>
    <s v=""/>
    <s v=""/>
    <s v=""/>
    <s v=""/>
    <s v="371616Newsletter Recipient"/>
    <m/>
    <x v="0"/>
  </r>
  <r>
    <n v="37822460"/>
    <b v="0"/>
    <b v="0"/>
    <b v="0"/>
    <b v="1"/>
    <b v="0"/>
    <b v="1"/>
    <b v="1"/>
    <b v="0"/>
    <b v="0"/>
    <n v="0"/>
    <n v="0"/>
    <m/>
    <d v="2017-02-24T00:00:00"/>
    <n v="32127162"/>
    <d v="2017-02-24T00:00:00"/>
    <m/>
    <m/>
    <s v=""/>
    <b v="0"/>
    <m/>
    <m/>
    <d v="2017-02-24T00:00:00"/>
    <m/>
    <n v="791522"/>
    <b v="1"/>
    <m/>
    <m/>
    <m/>
    <x v="0"/>
    <b v="1"/>
    <n v="37822460"/>
    <s v="Assistant for Senator Daniel Biss"/>
    <s v="Johnson"/>
    <s v="Illinois General Assembly"/>
    <s v=""/>
    <s v=""/>
    <s v="jjohnson@senatedem.ilga.gov"/>
    <s v=""/>
    <s v=""/>
    <s v=""/>
    <s v=""/>
    <s v=""/>
    <s v=""/>
    <s v=""/>
    <s v=""/>
    <s v=""/>
    <s v=""/>
    <s v=""/>
    <s v=""/>
    <s v=""/>
    <s v=""/>
    <s v=""/>
    <s v=""/>
    <s v="371616Newsletter Recipient, 372319IGA Senate Staff"/>
    <m/>
    <x v="0"/>
  </r>
  <r>
    <n v="42678278"/>
    <b v="0"/>
    <b v="0"/>
    <b v="0"/>
    <b v="1"/>
    <b v="0"/>
    <b v="1"/>
    <b v="1"/>
    <b v="0"/>
    <b v="0"/>
    <n v="0"/>
    <n v="0"/>
    <m/>
    <d v="2018-02-12T00:00:00"/>
    <n v="32127162"/>
    <d v="2017-11-17T00:00:00"/>
    <m/>
    <m/>
    <s v=""/>
    <b v="0"/>
    <m/>
    <m/>
    <d v="2017-11-17T00:00:00"/>
    <m/>
    <n v="791522"/>
    <b v="1"/>
    <m/>
    <d v="2017-11-17T00:00:00"/>
    <m/>
    <x v="0"/>
    <b v="1"/>
    <n v="42678278"/>
    <s v="Barbara"/>
    <s v="Johnson"/>
    <s v="SSM Health - Southern Illinois"/>
    <s v=""/>
    <s v=""/>
    <s v="Barbara.a.johnson@ssmhealth.com"/>
    <s v=""/>
    <s v=""/>
    <s v=""/>
    <s v=""/>
    <s v=""/>
    <s v=""/>
    <s v=""/>
    <s v="SSM Health - Southern Illinois"/>
    <s v=""/>
    <s v=""/>
    <s v=""/>
    <s v=""/>
    <s v=""/>
    <s v=""/>
    <s v=""/>
    <s v=""/>
    <s v="371616Newsletter Recipient"/>
    <m/>
    <x v="0"/>
  </r>
  <r>
    <n v="44100022"/>
    <b v="0"/>
    <b v="0"/>
    <b v="0"/>
    <b v="1"/>
    <b v="0"/>
    <b v="1"/>
    <b v="1"/>
    <b v="0"/>
    <b v="0"/>
    <n v="0"/>
    <n v="0"/>
    <m/>
    <d v="2018-03-26T00:00:00"/>
    <n v="32127162"/>
    <d v="2018-03-07T00:00:00"/>
    <m/>
    <m/>
    <s v=""/>
    <b v="0"/>
    <m/>
    <m/>
    <d v="2018-03-07T00:00:00"/>
    <m/>
    <n v="791522"/>
    <b v="1"/>
    <m/>
    <d v="2018-03-07T00:00:00"/>
    <m/>
    <x v="0"/>
    <b v="1"/>
    <n v="44100022"/>
    <s v="Brenita"/>
    <s v="Johnson"/>
    <s v="IlliniCare Health"/>
    <s v=""/>
    <s v=""/>
    <s v="brenita.johnson@illinicare.com"/>
    <s v=""/>
    <s v=""/>
    <s v=""/>
    <s v=""/>
    <s v=""/>
    <s v=""/>
    <s v=""/>
    <s v=""/>
    <s v=""/>
    <s v=""/>
    <s v=""/>
    <s v=""/>
    <s v=""/>
    <s v=""/>
    <s v=""/>
    <s v=""/>
    <s v="364404Redetermination Point Person, 371616Newsletter Recipient, 372295Board of Directors/General Distribution List, 372296Legislative Committee, 372306Marketing Committee, 428788Pharmacy Director Committee"/>
    <m/>
    <x v="0"/>
  </r>
  <r>
    <n v="37819639"/>
    <b v="0"/>
    <b v="0"/>
    <b v="0"/>
    <b v="1"/>
    <b v="0"/>
    <b v="1"/>
    <b v="1"/>
    <b v="0"/>
    <b v="0"/>
    <n v="0"/>
    <n v="0"/>
    <m/>
    <d v="2018-05-29T00:00:00"/>
    <n v="32127162"/>
    <d v="2017-02-24T00:00:00"/>
    <m/>
    <m/>
    <s v=""/>
    <b v="0"/>
    <m/>
    <m/>
    <d v="2017-02-24T00:00:00"/>
    <m/>
    <n v="791522"/>
    <b v="1"/>
    <m/>
    <m/>
    <m/>
    <x v="0"/>
    <b v="1"/>
    <n v="37819639"/>
    <s v="Joanne"/>
    <s v="Johnson"/>
    <s v="IllioniCare Health"/>
    <s v=""/>
    <s v=""/>
    <s v="joannejohnson@illinicare.com"/>
    <s v=""/>
    <s v=""/>
    <s v=""/>
    <s v="joannejohnson@centene.com"/>
    <s v=""/>
    <s v=""/>
    <s v=""/>
    <s v=""/>
    <s v=""/>
    <s v=""/>
    <s v=""/>
    <s v=""/>
    <s v=""/>
    <s v=""/>
    <s v=""/>
    <s v=""/>
    <s v="371616Newsletter Recipient, 372294Finance Committee, 372295Board of Directors/General Distribution List, 372297Operations Committee, 372298Operations Transportation Subcommittee, 447857HFS Ops Workgroup"/>
    <m/>
    <x v="0"/>
  </r>
  <r>
    <n v="37819640"/>
    <b v="0"/>
    <b v="0"/>
    <b v="0"/>
    <b v="1"/>
    <b v="0"/>
    <b v="1"/>
    <b v="1"/>
    <b v="0"/>
    <b v="0"/>
    <n v="0"/>
    <n v="0"/>
    <m/>
    <d v="2017-02-24T00:00:00"/>
    <n v="32127162"/>
    <d v="2017-02-24T00:00:00"/>
    <m/>
    <m/>
    <s v=""/>
    <b v="0"/>
    <m/>
    <m/>
    <d v="2017-02-24T00:00:00"/>
    <m/>
    <n v="791522"/>
    <b v="1"/>
    <m/>
    <m/>
    <m/>
    <x v="0"/>
    <b v="1"/>
    <n v="37819640"/>
    <s v="Kimberly"/>
    <s v="Johnson"/>
    <s v="Dentaquest"/>
    <s v=""/>
    <s v=""/>
    <s v="kimberly.johnson@dentaquest.com"/>
    <s v=""/>
    <s v=""/>
    <s v=""/>
    <s v=""/>
    <s v=""/>
    <s v=""/>
    <s v=""/>
    <s v=""/>
    <s v=""/>
    <s v=""/>
    <s v=""/>
    <s v=""/>
    <s v=""/>
    <s v=""/>
    <s v=""/>
    <s v=""/>
    <s v="371616Newsletter Recipient, 372311Business Member"/>
    <m/>
    <x v="0"/>
  </r>
  <r>
    <n v="46436549"/>
    <b v="0"/>
    <b v="0"/>
    <b v="0"/>
    <b v="1"/>
    <b v="0"/>
    <b v="1"/>
    <b v="1"/>
    <b v="0"/>
    <b v="0"/>
    <n v="0"/>
    <n v="0"/>
    <m/>
    <d v="2018-06-21T00:00:00"/>
    <n v="32127162"/>
    <d v="2018-06-21T00:00:00"/>
    <m/>
    <m/>
    <s v=""/>
    <b v="0"/>
    <m/>
    <m/>
    <d v="2018-06-21T00:00:00"/>
    <m/>
    <n v="791522"/>
    <b v="1"/>
    <m/>
    <d v="2018-06-21T00:00:00"/>
    <m/>
    <x v="0"/>
    <b v="1"/>
    <n v="46436549"/>
    <s v="Rebecca"/>
    <s v="Johnson"/>
    <s v="Northwestern"/>
    <s v=""/>
    <s v=""/>
    <s v="rebecca.johnson@northwestern.edu"/>
    <s v=""/>
    <s v=""/>
    <s v=""/>
    <s v=""/>
    <s v=""/>
    <s v=""/>
    <s v=""/>
    <s v="Northwestern"/>
    <s v=""/>
    <s v=""/>
    <s v=""/>
    <s v=""/>
    <s v=""/>
    <s v=""/>
    <s v=""/>
    <s v=""/>
    <s v="371616Newsletter Recipient"/>
    <m/>
    <x v="0"/>
  </r>
  <r>
    <n v="41807861"/>
    <b v="0"/>
    <b v="0"/>
    <b v="0"/>
    <b v="1"/>
    <b v="0"/>
    <b v="1"/>
    <b v="1"/>
    <b v="0"/>
    <b v="0"/>
    <n v="0"/>
    <n v="0"/>
    <m/>
    <d v="2018-02-12T00:00:00"/>
    <n v="32127162"/>
    <d v="2017-09-30T00:00:00"/>
    <m/>
    <m/>
    <s v=""/>
    <b v="0"/>
    <m/>
    <m/>
    <d v="2017-09-29T00:00:00"/>
    <m/>
    <n v="791522"/>
    <b v="1"/>
    <m/>
    <d v="2017-09-30T00:00:00"/>
    <m/>
    <x v="0"/>
    <b v="1"/>
    <n v="41807861"/>
    <s v="Christy"/>
    <s v="Johnston"/>
    <s v="Premier Home Health Care Services"/>
    <s v=""/>
    <s v=""/>
    <s v="cjohnston@phhc.com"/>
    <s v=""/>
    <s v=""/>
    <s v=""/>
    <s v=""/>
    <s v=""/>
    <s v=""/>
    <s v=""/>
    <s v=""/>
    <s v=""/>
    <s v=""/>
    <s v=""/>
    <s v=""/>
    <s v=""/>
    <s v=""/>
    <s v=""/>
    <s v=""/>
    <s v="371616Newsletter Recipient"/>
    <m/>
    <x v="0"/>
  </r>
  <r>
    <n v="34033382"/>
    <b v="0"/>
    <b v="0"/>
    <b v="0"/>
    <b v="1"/>
    <b v="0"/>
    <b v="1"/>
    <b v="1"/>
    <b v="0"/>
    <b v="0"/>
    <n v="0"/>
    <n v="0"/>
    <m/>
    <d v="2018-01-16T00:00:00"/>
    <n v="32127162"/>
    <d v="2016-08-23T00:00:00"/>
    <m/>
    <m/>
    <s v=""/>
    <b v="0"/>
    <m/>
    <m/>
    <d v="2016-08-23T00:00:00"/>
    <m/>
    <n v="791522"/>
    <b v="1"/>
    <m/>
    <m/>
    <m/>
    <x v="0"/>
    <b v="1"/>
    <n v="34033382"/>
    <s v="Dr. Robin L."/>
    <s v="Jones"/>
    <s v="Harmony Health Plan of Illinois - A WellCare Company"/>
    <s v=""/>
    <s v=""/>
    <s v="Robin.Jones@wellcare.com"/>
    <s v="312-516-5808"/>
    <s v=""/>
    <s v=""/>
    <s v=""/>
    <s v=""/>
    <s v=""/>
    <s v=""/>
    <s v=""/>
    <s v=""/>
    <s v=""/>
    <s v=""/>
    <s v=""/>
    <s v=""/>
    <s v=""/>
    <s v=""/>
    <s v=""/>
    <s v="371616Newsletter Recipient"/>
    <m/>
    <x v="0"/>
  </r>
  <r>
    <n v="44047256"/>
    <b v="0"/>
    <b v="0"/>
    <b v="0"/>
    <b v="1"/>
    <b v="0"/>
    <b v="1"/>
    <b v="1"/>
    <b v="0"/>
    <b v="0"/>
    <n v="0"/>
    <n v="0"/>
    <m/>
    <d v="2018-03-02T00:00:00"/>
    <n v="32127162"/>
    <d v="2018-03-02T00:00:00"/>
    <m/>
    <m/>
    <s v=""/>
    <b v="0"/>
    <m/>
    <m/>
    <d v="2018-03-02T00:00:00"/>
    <m/>
    <n v="791522"/>
    <b v="1"/>
    <m/>
    <d v="2018-03-02T00:00:00"/>
    <m/>
    <x v="0"/>
    <b v="1"/>
    <n v="44047256"/>
    <s v="Gina"/>
    <s v="Jones"/>
    <s v="UIC Specialized Care for Children"/>
    <s v=""/>
    <s v=""/>
    <s v="gmjones@uic.edu"/>
    <s v=""/>
    <s v=""/>
    <s v=""/>
    <s v=""/>
    <s v=""/>
    <s v=""/>
    <s v=""/>
    <s v=""/>
    <s v=""/>
    <s v=""/>
    <s v=""/>
    <s v=""/>
    <s v=""/>
    <s v=""/>
    <s v=""/>
    <s v=""/>
    <s v="371616Newsletter Recipient"/>
    <m/>
    <x v="0"/>
  </r>
  <r>
    <n v="44047341"/>
    <b v="0"/>
    <b v="0"/>
    <b v="0"/>
    <b v="1"/>
    <b v="0"/>
    <b v="1"/>
    <b v="1"/>
    <b v="0"/>
    <b v="0"/>
    <n v="0"/>
    <n v="0"/>
    <m/>
    <d v="2018-03-02T00:00:00"/>
    <n v="32127162"/>
    <d v="2018-03-02T00:00:00"/>
    <m/>
    <m/>
    <s v=""/>
    <b v="0"/>
    <m/>
    <m/>
    <d v="2018-03-02T00:00:00"/>
    <m/>
    <n v="791522"/>
    <b v="1"/>
    <m/>
    <d v="2018-03-02T00:00:00"/>
    <m/>
    <x v="0"/>
    <b v="1"/>
    <n v="44047341"/>
    <s v="Jason"/>
    <s v="Jones"/>
    <s v="Central Counties Health Centers, Inc."/>
    <s v=""/>
    <s v=""/>
    <s v="jjones@centralcounties.org"/>
    <s v=""/>
    <s v=""/>
    <s v=""/>
    <s v=""/>
    <s v=""/>
    <s v=""/>
    <s v=""/>
    <s v=""/>
    <s v=""/>
    <s v=""/>
    <s v=""/>
    <s v=""/>
    <s v=""/>
    <s v=""/>
    <s v=""/>
    <s v=""/>
    <s v="371616Newsletter Recipient"/>
    <m/>
    <x v="0"/>
  </r>
  <r>
    <n v="39538356"/>
    <b v="0"/>
    <b v="0"/>
    <b v="0"/>
    <b v="1"/>
    <b v="0"/>
    <b v="1"/>
    <b v="1"/>
    <b v="0"/>
    <b v="0"/>
    <n v="0"/>
    <n v="0"/>
    <m/>
    <d v="2017-10-17T00:00:00"/>
    <n v="32127162"/>
    <d v="2017-06-28T00:00:00"/>
    <m/>
    <m/>
    <s v=""/>
    <b v="0"/>
    <m/>
    <m/>
    <d v="2017-06-28T00:00:00"/>
    <m/>
    <n v="791522"/>
    <b v="1"/>
    <m/>
    <m/>
    <m/>
    <x v="0"/>
    <b v="1"/>
    <n v="39538356"/>
    <s v="Sheniece"/>
    <s v="Jones"/>
    <s v="Molina Healthcare of Illinois, Inc."/>
    <s v=""/>
    <s v=""/>
    <s v="Sheniece.Jones@molinahealthcare.com"/>
    <s v="888-562-5442 x162065"/>
    <s v=""/>
    <s v=""/>
    <s v=""/>
    <s v=""/>
    <s v=""/>
    <s v=""/>
    <s v=""/>
    <s v=""/>
    <s v=""/>
    <s v=""/>
    <s v=""/>
    <s v=""/>
    <s v=""/>
    <s v=""/>
    <s v=""/>
    <m/>
    <m/>
    <x v="0"/>
  </r>
  <r>
    <n v="37779219"/>
    <b v="0"/>
    <b v="0"/>
    <b v="0"/>
    <b v="1"/>
    <b v="0"/>
    <b v="1"/>
    <b v="1"/>
    <b v="0"/>
    <b v="0"/>
    <n v="0"/>
    <n v="0"/>
    <m/>
    <d v="2017-02-24T00:00:00"/>
    <n v="32127162"/>
    <d v="2017-02-21T00:00:00"/>
    <m/>
    <m/>
    <s v=""/>
    <b v="0"/>
    <m/>
    <m/>
    <d v="2017-02-20T00:00:00"/>
    <m/>
    <n v="791522"/>
    <b v="1"/>
    <m/>
    <m/>
    <m/>
    <x v="0"/>
    <b v="1"/>
    <n v="37779219"/>
    <s v="Thaddeus"/>
    <s v="Jones"/>
    <s v="Illinois General Assembly"/>
    <s v=""/>
    <s v="Representative Thaddeus Jones (D)_x000a_29th District_x0009_ _x0009__x000a__x000a_Springfield Office:_x000a_274-S Stratton Office Building_x000a_Springfield, IL   62706_x000a_(217) 782-8087_x000a_(217) 558-6433 FAX_x000a__x000a_District Office:_x000a_1910 Sibley Blvd._x000a_Calumet City, IL  60409_x000a_(708) 933-6018_x000a_(708) 933-6284 FAX"/>
    <s v="repjones.jones@gmail.com"/>
    <s v=""/>
    <s v=""/>
    <s v=""/>
    <s v=""/>
    <s v=""/>
    <s v=""/>
    <s v=""/>
    <s v=""/>
    <s v=""/>
    <s v=""/>
    <s v=""/>
    <s v=""/>
    <s v=""/>
    <s v=""/>
    <s v=""/>
    <s v=""/>
    <s v="371616Newsletter Recipient, 371627House of Representatives"/>
    <m/>
    <x v="0"/>
  </r>
  <r>
    <n v="37770589"/>
    <b v="0"/>
    <b v="0"/>
    <b v="0"/>
    <b v="1"/>
    <b v="0"/>
    <b v="1"/>
    <b v="1"/>
    <b v="0"/>
    <b v="0"/>
    <n v="0"/>
    <n v="0"/>
    <m/>
    <d v="2017-02-24T00:00:00"/>
    <n v="32127162"/>
    <d v="2017-02-20T00:00:00"/>
    <m/>
    <m/>
    <s v=""/>
    <b v="0"/>
    <m/>
    <m/>
    <d v="2017-02-20T00:00:00"/>
    <m/>
    <n v="791522"/>
    <b v="1"/>
    <m/>
    <m/>
    <m/>
    <x v="0"/>
    <b v="1"/>
    <n v="37770589"/>
    <s v="Emil"/>
    <s v="Jones, III"/>
    <s v="Illinois General Assembly"/>
    <s v=""/>
    <s v="Senator Emil Jones, III (D)_x000a_14th District _x0009__x000a__x000a_Springfield Office:_x000a_Senator 14th District_x000a_121D Capitol Building_x000a_Springfield, IL   62706_x000a_(217) 782-9573_x000a_(217) 782-5340 FAX_x000a_ _x000a_District Office:_x000a_507 West 111th Street_x000a_Chicago, IL  60628_x000a_(773) 995-7748_x000a_(773) 995-9061 FAX"/>
    <s v=""/>
    <s v=""/>
    <s v=""/>
    <s v=""/>
    <s v=""/>
    <s v=""/>
    <s v="(217) 782-9573"/>
    <s v=""/>
    <s v=""/>
    <s v=""/>
    <s v=""/>
    <s v=""/>
    <s v=""/>
    <s v=""/>
    <s v=""/>
    <s v=""/>
    <s v=""/>
    <s v="371609Senator, 371616Newsletter Recipient"/>
    <m/>
    <x v="0"/>
  </r>
  <r>
    <n v="43208893"/>
    <b v="0"/>
    <b v="0"/>
    <b v="0"/>
    <b v="1"/>
    <b v="0"/>
    <b v="1"/>
    <b v="1"/>
    <b v="0"/>
    <b v="0"/>
    <n v="0"/>
    <n v="0"/>
    <m/>
    <d v="2018-01-09T00:00:00"/>
    <n v="32127162"/>
    <d v="2018-01-09T00:00:00"/>
    <m/>
    <m/>
    <s v=""/>
    <b v="0"/>
    <m/>
    <m/>
    <d v="2018-01-09T00:00:00"/>
    <m/>
    <n v="791522"/>
    <b v="1"/>
    <m/>
    <d v="2018-01-09T00:00:00"/>
    <m/>
    <x v="0"/>
    <b v="1"/>
    <n v="43208893"/>
    <s v="John"/>
    <s v="Jurich"/>
    <s v="Magellan Health Care"/>
    <s v=""/>
    <s v=""/>
    <s v="jejurich@magellanhealth.com"/>
    <s v=""/>
    <s v=""/>
    <s v=""/>
    <s v=""/>
    <s v=""/>
    <s v=""/>
    <s v=""/>
    <s v=""/>
    <s v=""/>
    <s v=""/>
    <s v=""/>
    <s v=""/>
    <s v=""/>
    <s v=""/>
    <s v=""/>
    <s v=""/>
    <s v="371616Newsletter Recipient"/>
    <m/>
    <x v="0"/>
  </r>
  <r>
    <n v="42845470"/>
    <b v="0"/>
    <b v="0"/>
    <b v="0"/>
    <b v="1"/>
    <b v="0"/>
    <b v="1"/>
    <b v="1"/>
    <b v="0"/>
    <b v="0"/>
    <n v="0"/>
    <n v="0"/>
    <m/>
    <d v="2017-12-06T00:00:00"/>
    <n v="32127162"/>
    <d v="2017-12-06T00:00:00"/>
    <m/>
    <m/>
    <s v=""/>
    <b v="0"/>
    <m/>
    <m/>
    <d v="2017-12-06T00:00:00"/>
    <m/>
    <n v="791522"/>
    <b v="1"/>
    <m/>
    <d v="2017-12-06T00:00:00"/>
    <m/>
    <x v="0"/>
    <b v="1"/>
    <n v="42845470"/>
    <s v="Brian"/>
    <s v="Kaelin"/>
    <s v="Humana"/>
    <s v=""/>
    <s v=""/>
    <s v="bkaelin@humana.com"/>
    <s v=""/>
    <s v=""/>
    <s v=""/>
    <s v=""/>
    <s v=""/>
    <s v=""/>
    <s v=""/>
    <s v=""/>
    <s v=""/>
    <s v=""/>
    <s v=""/>
    <s v=""/>
    <s v=""/>
    <s v=""/>
    <s v=""/>
    <s v=""/>
    <s v="371616Newsletter Recipient, 372294Finance Committee"/>
    <m/>
    <x v="0"/>
  </r>
  <r>
    <n v="40308724"/>
    <b v="0"/>
    <b v="0"/>
    <b v="0"/>
    <b v="1"/>
    <b v="0"/>
    <b v="1"/>
    <b v="1"/>
    <b v="0"/>
    <b v="0"/>
    <n v="0"/>
    <n v="0"/>
    <m/>
    <d v="2017-07-10T00:00:00"/>
    <n v="32127162"/>
    <d v="2017-07-10T00:00:00"/>
    <m/>
    <m/>
    <s v=""/>
    <b v="0"/>
    <m/>
    <m/>
    <d v="2017-07-10T00:00:00"/>
    <m/>
    <n v="791522"/>
    <b v="1"/>
    <m/>
    <m/>
    <m/>
    <x v="0"/>
    <b v="1"/>
    <n v="40308724"/>
    <s v="Dan"/>
    <s v="Kamyck"/>
    <s v="ACT.md"/>
    <s v=""/>
    <s v=""/>
    <s v="dan@act.md"/>
    <s v=""/>
    <s v=""/>
    <s v=""/>
    <s v=""/>
    <s v=""/>
    <s v=""/>
    <s v=""/>
    <s v=""/>
    <s v=""/>
    <s v=""/>
    <s v=""/>
    <s v=""/>
    <s v=""/>
    <s v=""/>
    <s v=""/>
    <s v=""/>
    <s v="371616Newsletter Recipient"/>
    <m/>
    <x v="0"/>
  </r>
  <r>
    <n v="43415885"/>
    <b v="0"/>
    <b v="0"/>
    <b v="0"/>
    <b v="1"/>
    <b v="0"/>
    <b v="1"/>
    <b v="1"/>
    <b v="0"/>
    <b v="0"/>
    <n v="0"/>
    <n v="0"/>
    <m/>
    <d v="2018-01-22T00:00:00"/>
    <n v="32127162"/>
    <d v="2018-01-22T00:00:00"/>
    <m/>
    <m/>
    <s v=""/>
    <b v="0"/>
    <m/>
    <m/>
    <d v="2018-01-22T00:00:00"/>
    <m/>
    <n v="791522"/>
    <b v="1"/>
    <m/>
    <d v="2018-01-22T00:00:00"/>
    <m/>
    <x v="0"/>
    <b v="1"/>
    <n v="43415885"/>
    <s v="Enver"/>
    <s v="Karadayi"/>
    <s v="Harmony Health Plan of Illinois - A WellCare Company"/>
    <s v=""/>
    <s v=""/>
    <s v="Enver.Karadayi@wellcare.com"/>
    <s v=""/>
    <s v=""/>
    <s v=""/>
    <s v=""/>
    <s v=""/>
    <s v=""/>
    <s v=""/>
    <s v=""/>
    <s v=""/>
    <s v=""/>
    <s v=""/>
    <s v=""/>
    <s v=""/>
    <s v=""/>
    <s v=""/>
    <s v=""/>
    <s v="371616Newsletter Recipient, 372294Finance Committee"/>
    <m/>
    <x v="0"/>
  </r>
  <r>
    <n v="43098439"/>
    <b v="0"/>
    <b v="0"/>
    <b v="1"/>
    <b v="1"/>
    <b v="0"/>
    <b v="1"/>
    <b v="1"/>
    <b v="0"/>
    <b v="0"/>
    <n v="0"/>
    <n v="0"/>
    <m/>
    <d v="2018-03-02T00:00:00"/>
    <n v="32127162"/>
    <d v="2018-01-02T00:00:00"/>
    <d v="2018-01-02T00:00:00"/>
    <m/>
    <s v=""/>
    <b v="0"/>
    <m/>
    <m/>
    <d v="2018-03-02T00:00:00"/>
    <m/>
    <n v="791522"/>
    <b v="1"/>
    <m/>
    <d v="2018-03-02T00:00:00"/>
    <m/>
    <x v="0"/>
    <b v="1"/>
    <n v="43098439"/>
    <s v="Susan"/>
    <s v="Karras"/>
    <s v="McHenry County Department of Health"/>
    <s v="Director, Public Health Nursing"/>
    <s v=""/>
    <s v="slkarras@co.mchenry.il.us"/>
    <s v="815-334-4530"/>
    <s v=""/>
    <s v=""/>
    <s v=""/>
    <s v=""/>
    <s v=""/>
    <s v=""/>
    <s v=""/>
    <s v=""/>
    <s v=""/>
    <s v=""/>
    <s v=""/>
    <s v=""/>
    <s v=""/>
    <s v=""/>
    <s v=""/>
    <s v="371616Newsletter Recipient"/>
    <m/>
    <x v="0"/>
  </r>
  <r>
    <n v="46688938"/>
    <b v="0"/>
    <b v="0"/>
    <b v="0"/>
    <b v="1"/>
    <b v="0"/>
    <b v="1"/>
    <b v="1"/>
    <b v="0"/>
    <b v="0"/>
    <n v="0"/>
    <n v="0"/>
    <m/>
    <d v="2018-06-28T00:00:00"/>
    <n v="32127162"/>
    <d v="2018-06-28T00:00:00"/>
    <m/>
    <m/>
    <s v=""/>
    <b v="0"/>
    <m/>
    <m/>
    <d v="2018-06-28T00:00:00"/>
    <m/>
    <n v="791522"/>
    <b v="1"/>
    <m/>
    <d v="2018-06-28T00:00:00"/>
    <m/>
    <x v="0"/>
    <b v="1"/>
    <n v="46688938"/>
    <s v="Natalie"/>
    <s v="Kasper"/>
    <s v="Molina Healthcare of Illinois, Inc."/>
    <s v=""/>
    <s v=""/>
    <s v="natalie.kasper@molinahealthcare.com"/>
    <s v=""/>
    <s v=""/>
    <s v=""/>
    <s v=""/>
    <s v=""/>
    <s v=""/>
    <s v=""/>
    <s v="Molina Healthcare of Illinois, Inc."/>
    <s v=""/>
    <s v=""/>
    <s v=""/>
    <s v=""/>
    <s v=""/>
    <s v=""/>
    <s v=""/>
    <s v=""/>
    <s v="335736Provider Relations - Committee Members, 371616Newsletter Recipient"/>
    <m/>
    <x v="0"/>
  </r>
  <r>
    <n v="42699404"/>
    <b v="0"/>
    <b v="0"/>
    <b v="1"/>
    <b v="1"/>
    <b v="0"/>
    <b v="1"/>
    <b v="1"/>
    <b v="0"/>
    <b v="0"/>
    <n v="0"/>
    <n v="0"/>
    <m/>
    <d v="2018-03-02T00:00:00"/>
    <n v="32127162"/>
    <d v="2017-11-20T00:00:00"/>
    <d v="2017-11-20T00:00:00"/>
    <m/>
    <s v=""/>
    <b v="0"/>
    <m/>
    <m/>
    <d v="2018-03-02T00:00:00"/>
    <m/>
    <n v="791522"/>
    <b v="1"/>
    <m/>
    <d v="2018-03-02T00:00:00"/>
    <m/>
    <x v="0"/>
    <b v="1"/>
    <n v="42699404"/>
    <s v="Kevin"/>
    <s v="Kaytor"/>
    <s v="Franklin-Williamson Bi-County Health Department"/>
    <s v="Administrator"/>
    <s v="Public Health and Home Health"/>
    <s v="kkaytor@bicountyhealth.org"/>
    <s v="6189938111"/>
    <s v=""/>
    <s v=""/>
    <s v="kkaytor@bicountyhealth.org"/>
    <s v="618.993.8111"/>
    <s v="618.993.8111"/>
    <s v=""/>
    <s v=""/>
    <s v=""/>
    <s v=""/>
    <s v=""/>
    <s v=""/>
    <s v=""/>
    <s v=""/>
    <s v=""/>
    <s v=""/>
    <s v="371616Newsletter Recipient"/>
    <m/>
    <x v="0"/>
  </r>
  <r>
    <n v="43218362"/>
    <b v="0"/>
    <b v="0"/>
    <b v="0"/>
    <b v="1"/>
    <b v="0"/>
    <b v="1"/>
    <b v="1"/>
    <b v="0"/>
    <b v="0"/>
    <n v="0"/>
    <n v="0"/>
    <m/>
    <d v="2018-01-10T00:00:00"/>
    <n v="32127162"/>
    <d v="2018-01-10T00:00:00"/>
    <m/>
    <m/>
    <s v=""/>
    <b v="0"/>
    <m/>
    <m/>
    <d v="2018-01-10T00:00:00"/>
    <m/>
    <n v="791522"/>
    <b v="1"/>
    <m/>
    <d v="2018-01-10T00:00:00"/>
    <m/>
    <x v="0"/>
    <b v="1"/>
    <n v="43218362"/>
    <s v="Victoria"/>
    <s v="Kehrer"/>
    <s v="Monroe County Health Department"/>
    <s v=""/>
    <s v=""/>
    <s v="vkehrer@monroecountyhealth.org"/>
    <s v=""/>
    <s v=""/>
    <s v=""/>
    <s v=""/>
    <s v=""/>
    <s v=""/>
    <s v=""/>
    <s v=""/>
    <s v=""/>
    <s v=""/>
    <s v=""/>
    <s v=""/>
    <s v=""/>
    <s v=""/>
    <s v=""/>
    <s v=""/>
    <s v="371616Newsletter Recipient"/>
    <m/>
    <x v="0"/>
  </r>
  <r>
    <n v="44047486"/>
    <b v="0"/>
    <b v="0"/>
    <b v="0"/>
    <b v="1"/>
    <b v="0"/>
    <b v="1"/>
    <b v="1"/>
    <b v="0"/>
    <b v="0"/>
    <n v="0"/>
    <n v="0"/>
    <m/>
    <d v="2018-03-02T00:00:00"/>
    <n v="32127162"/>
    <d v="2018-03-02T00:00:00"/>
    <m/>
    <m/>
    <s v=""/>
    <b v="0"/>
    <m/>
    <m/>
    <d v="2018-03-02T00:00:00"/>
    <m/>
    <n v="791522"/>
    <b v="1"/>
    <m/>
    <d v="2018-03-02T00:00:00"/>
    <m/>
    <x v="0"/>
    <b v="1"/>
    <n v="44047486"/>
    <s v="Bob"/>
    <s v="Keller"/>
    <s v="Keller Consulting"/>
    <s v=""/>
    <s v=""/>
    <s v="bkeller1947@gmail.com"/>
    <s v=""/>
    <s v=""/>
    <s v=""/>
    <s v=""/>
    <s v=""/>
    <s v=""/>
    <s v=""/>
    <s v=""/>
    <s v=""/>
    <s v=""/>
    <s v=""/>
    <s v=""/>
    <s v=""/>
    <s v=""/>
    <s v=""/>
    <s v=""/>
    <s v="371616Newsletter Recipient"/>
    <m/>
    <x v="0"/>
  </r>
  <r>
    <n v="37819648"/>
    <b v="0"/>
    <b v="0"/>
    <b v="0"/>
    <b v="1"/>
    <b v="0"/>
    <b v="1"/>
    <b v="1"/>
    <b v="0"/>
    <b v="0"/>
    <n v="0"/>
    <n v="0"/>
    <m/>
    <d v="2017-02-24T00:00:00"/>
    <n v="32127162"/>
    <d v="2017-02-24T00:00:00"/>
    <m/>
    <m/>
    <s v=""/>
    <b v="0"/>
    <m/>
    <m/>
    <d v="2017-02-24T00:00:00"/>
    <m/>
    <n v="791522"/>
    <b v="1"/>
    <m/>
    <m/>
    <m/>
    <x v="0"/>
    <b v="1"/>
    <n v="37819648"/>
    <s v="Jay"/>
    <s v="Keller"/>
    <s v=""/>
    <s v=""/>
    <s v=""/>
    <s v="jalexanderhuntinc@gmail.com"/>
    <s v=""/>
    <s v=""/>
    <s v=""/>
    <s v=""/>
    <s v=""/>
    <s v=""/>
    <s v=""/>
    <s v=""/>
    <s v=""/>
    <s v=""/>
    <s v=""/>
    <s v=""/>
    <s v=""/>
    <s v=""/>
    <s v=""/>
    <s v=""/>
    <s v="371616Newsletter Recipient, 372296Legislative Committee, 428250Hospital Assessment"/>
    <m/>
    <x v="0"/>
  </r>
  <r>
    <n v="37819650"/>
    <b v="0"/>
    <b v="0"/>
    <b v="0"/>
    <b v="1"/>
    <b v="0"/>
    <b v="1"/>
    <b v="1"/>
    <b v="0"/>
    <b v="0"/>
    <n v="0"/>
    <n v="0"/>
    <m/>
    <d v="2017-02-24T00:00:00"/>
    <n v="32127162"/>
    <d v="2017-02-24T00:00:00"/>
    <m/>
    <m/>
    <s v=""/>
    <b v="0"/>
    <m/>
    <m/>
    <d v="2017-02-24T00:00:00"/>
    <m/>
    <n v="791522"/>
    <b v="1"/>
    <m/>
    <m/>
    <m/>
    <x v="0"/>
    <b v="1"/>
    <n v="37819650"/>
    <s v="Stephanie"/>
    <s v="Keller"/>
    <s v="Family Health Network"/>
    <s v=""/>
    <s v=""/>
    <s v="skeller@myfhn.com"/>
    <s v=""/>
    <s v=""/>
    <s v=""/>
    <s v=""/>
    <s v=""/>
    <s v=""/>
    <s v=""/>
    <s v=""/>
    <s v=""/>
    <s v=""/>
    <s v=""/>
    <s v=""/>
    <s v=""/>
    <s v=""/>
    <s v=""/>
    <s v=""/>
    <s v="371616Newsletter Recipient"/>
    <m/>
    <x v="0"/>
  </r>
  <r>
    <n v="44399222"/>
    <b v="0"/>
    <b v="0"/>
    <b v="0"/>
    <b v="1"/>
    <b v="0"/>
    <b v="1"/>
    <b v="1"/>
    <b v="0"/>
    <b v="0"/>
    <n v="0"/>
    <n v="0"/>
    <m/>
    <d v="2018-03-26T00:00:00"/>
    <n v="32127162"/>
    <d v="2018-03-26T00:00:00"/>
    <m/>
    <m/>
    <s v=""/>
    <b v="0"/>
    <m/>
    <m/>
    <d v="2018-03-26T00:00:00"/>
    <m/>
    <n v="791522"/>
    <b v="1"/>
    <m/>
    <d v="2018-03-26T00:00:00"/>
    <m/>
    <x v="0"/>
    <b v="1"/>
    <n v="44399222"/>
    <s v="Brett"/>
    <s v="Kenefick"/>
    <s v="VaxCare"/>
    <s v=""/>
    <s v=""/>
    <s v="bkenefick@vaxcare.com"/>
    <s v=""/>
    <s v=""/>
    <s v=""/>
    <s v=""/>
    <s v=""/>
    <s v=""/>
    <s v=""/>
    <s v=""/>
    <s v=""/>
    <s v=""/>
    <s v=""/>
    <s v=""/>
    <s v=""/>
    <s v=""/>
    <s v=""/>
    <s v=""/>
    <s v="371616Newsletter Recipient, 372311Business Member"/>
    <m/>
    <x v="0"/>
  </r>
  <r>
    <n v="37822839"/>
    <b v="0"/>
    <b v="0"/>
    <b v="0"/>
    <b v="1"/>
    <b v="0"/>
    <b v="1"/>
    <b v="1"/>
    <b v="0"/>
    <b v="0"/>
    <n v="0"/>
    <n v="0"/>
    <m/>
    <d v="2017-02-24T00:00:00"/>
    <n v="32127162"/>
    <d v="2017-02-24T00:00:00"/>
    <m/>
    <m/>
    <s v=""/>
    <b v="0"/>
    <m/>
    <m/>
    <d v="2017-02-24T00:00:00"/>
    <m/>
    <n v="791522"/>
    <b v="1"/>
    <m/>
    <m/>
    <m/>
    <x v="0"/>
    <b v="1"/>
    <n v="37822839"/>
    <s v="Alaina"/>
    <s v="Kennedy"/>
    <s v="AIDS Foundation of Chicago"/>
    <s v=""/>
    <s v=""/>
    <s v="akennedy@aidschicago.org"/>
    <s v=""/>
    <s v=""/>
    <s v=""/>
    <s v=""/>
    <s v=""/>
    <s v=""/>
    <s v=""/>
    <s v=""/>
    <s v=""/>
    <s v=""/>
    <s v=""/>
    <s v=""/>
    <s v=""/>
    <s v=""/>
    <s v=""/>
    <s v=""/>
    <s v="371616Newsletter Recipient"/>
    <m/>
    <x v="0"/>
  </r>
  <r>
    <n v="41847137"/>
    <b v="0"/>
    <b v="0"/>
    <b v="0"/>
    <b v="1"/>
    <b v="0"/>
    <b v="1"/>
    <b v="1"/>
    <b v="0"/>
    <b v="0"/>
    <n v="0"/>
    <n v="0"/>
    <m/>
    <d v="2017-10-03T00:00:00"/>
    <n v="32127162"/>
    <d v="2017-10-03T00:00:00"/>
    <m/>
    <m/>
    <s v=""/>
    <b v="0"/>
    <m/>
    <m/>
    <d v="2017-10-03T00:00:00"/>
    <m/>
    <n v="791522"/>
    <b v="1"/>
    <m/>
    <d v="2017-10-03T00:00:00"/>
    <m/>
    <x v="0"/>
    <b v="1"/>
    <n v="41847137"/>
    <s v="Gary"/>
    <s v="Kenzer"/>
    <s v=""/>
    <s v=""/>
    <s v=""/>
    <s v="gary@careforfriends.org"/>
    <s v=""/>
    <s v=""/>
    <s v=""/>
    <s v=""/>
    <s v=""/>
    <s v=""/>
    <s v=""/>
    <s v=""/>
    <s v=""/>
    <s v=""/>
    <s v=""/>
    <s v=""/>
    <s v=""/>
    <s v=""/>
    <s v=""/>
    <s v=""/>
    <s v="371616Newsletter Recipient"/>
    <m/>
    <x v="0"/>
  </r>
  <r>
    <n v="46436600"/>
    <b v="0"/>
    <b v="0"/>
    <b v="0"/>
    <b v="1"/>
    <b v="0"/>
    <b v="1"/>
    <b v="1"/>
    <b v="0"/>
    <b v="0"/>
    <n v="0"/>
    <n v="0"/>
    <m/>
    <d v="2018-06-21T00:00:00"/>
    <n v="32127162"/>
    <d v="2018-06-21T00:00:00"/>
    <m/>
    <m/>
    <s v=""/>
    <b v="0"/>
    <m/>
    <m/>
    <d v="2018-06-21T00:00:00"/>
    <m/>
    <n v="791522"/>
    <b v="1"/>
    <m/>
    <d v="2018-06-21T00:00:00"/>
    <m/>
    <x v="0"/>
    <b v="1"/>
    <n v="46436600"/>
    <s v="Vickie"/>
    <s v="Keys-Lydic"/>
    <s v="The Fort Armstrong"/>
    <s v=""/>
    <s v=""/>
    <s v="vickie@fortarmstrong.com"/>
    <s v=""/>
    <s v=""/>
    <s v=""/>
    <s v=""/>
    <s v=""/>
    <s v=""/>
    <s v=""/>
    <s v="The Fort Armstrong"/>
    <s v=""/>
    <s v=""/>
    <s v=""/>
    <s v=""/>
    <s v=""/>
    <s v=""/>
    <s v=""/>
    <s v=""/>
    <s v="371616Newsletter Recipient"/>
    <m/>
    <x v="0"/>
  </r>
  <r>
    <n v="34022395"/>
    <b v="0"/>
    <b v="0"/>
    <b v="0"/>
    <b v="1"/>
    <b v="0"/>
    <b v="1"/>
    <b v="1"/>
    <b v="0"/>
    <b v="0"/>
    <n v="0"/>
    <n v="0"/>
    <m/>
    <d v="2018-01-24T00:00:00"/>
    <n v="32127162"/>
    <d v="2016-08-22T00:00:00"/>
    <m/>
    <m/>
    <s v=""/>
    <b v="0"/>
    <m/>
    <m/>
    <d v="2016-08-22T00:00:00"/>
    <m/>
    <n v="791522"/>
    <b v="1"/>
    <m/>
    <m/>
    <m/>
    <x v="0"/>
    <b v="1"/>
    <n v="34022395"/>
    <s v="James"/>
    <s v="Kiamos"/>
    <s v="CountyCare Health Plan"/>
    <s v=""/>
    <s v=""/>
    <s v="James.Kiamos@cookcountyhhs.org"/>
    <s v=""/>
    <s v=""/>
    <s v=""/>
    <s v=""/>
    <s v=""/>
    <s v=""/>
    <s v=""/>
    <s v=""/>
    <s v=""/>
    <s v=""/>
    <s v=""/>
    <s v=""/>
    <s v=""/>
    <s v=""/>
    <s v=""/>
    <s v=""/>
    <s v="335741Chief Executive Officer, 371616Newsletter Recipient, 372294Finance Committee, 372295Board of Directors/General Distribution List, 420911IAMHP Leadership, 428250Hospital Assessment"/>
    <m/>
    <x v="0"/>
  </r>
  <r>
    <n v="34090879"/>
    <b v="0"/>
    <b v="0"/>
    <b v="0"/>
    <b v="1"/>
    <b v="0"/>
    <b v="1"/>
    <b v="1"/>
    <b v="0"/>
    <b v="0"/>
    <n v="0"/>
    <n v="0"/>
    <m/>
    <d v="2018-01-12T00:00:00"/>
    <n v="32127162"/>
    <d v="2016-08-29T00:00:00"/>
    <m/>
    <m/>
    <s v=""/>
    <b v="0"/>
    <m/>
    <m/>
    <d v="2016-08-29T00:00:00"/>
    <m/>
    <n v="791522"/>
    <b v="1"/>
    <m/>
    <m/>
    <m/>
    <x v="0"/>
    <b v="1"/>
    <n v="34090879"/>
    <s v="Cynthia"/>
    <s v="Kienlen"/>
    <s v="Family Health Network/Community Care Alliance of Illinois"/>
    <s v=""/>
    <s v="Director, Care and Disease Management"/>
    <s v="CKienlen@myfhn.com"/>
    <s v=""/>
    <s v=""/>
    <s v=""/>
    <s v=""/>
    <s v=""/>
    <s v=""/>
    <s v=""/>
    <s v=""/>
    <s v=""/>
    <s v=""/>
    <s v=""/>
    <s v=""/>
    <s v=""/>
    <s v=""/>
    <s v=""/>
    <s v=""/>
    <m/>
    <m/>
    <x v="0"/>
  </r>
  <r>
    <n v="36686353"/>
    <b v="0"/>
    <b v="0"/>
    <b v="0"/>
    <b v="1"/>
    <b v="0"/>
    <b v="1"/>
    <b v="1"/>
    <b v="0"/>
    <b v="0"/>
    <n v="0"/>
    <n v="0"/>
    <m/>
    <d v="2018-01-12T00:00:00"/>
    <n v="32127162"/>
    <d v="2016-12-27T00:00:00"/>
    <m/>
    <m/>
    <s v=""/>
    <b v="0"/>
    <m/>
    <m/>
    <d v="2016-12-27T00:00:00"/>
    <m/>
    <n v="791522"/>
    <b v="1"/>
    <m/>
    <m/>
    <m/>
    <x v="0"/>
    <b v="1"/>
    <n v="36686353"/>
    <s v="Beth"/>
    <s v="Kiesler"/>
    <s v="Family Health Network/Community Care Alliance of Illinois"/>
    <s v=""/>
    <s v=""/>
    <s v="BKiesler@myfhn.com"/>
    <s v=""/>
    <s v=""/>
    <s v=""/>
    <s v=""/>
    <s v=""/>
    <s v=""/>
    <s v=""/>
    <s v=""/>
    <s v="Redetermination Point Person"/>
    <s v=""/>
    <s v=""/>
    <s v=""/>
    <s v=""/>
    <s v=""/>
    <s v=""/>
    <s v=""/>
    <m/>
    <m/>
    <x v="0"/>
  </r>
  <r>
    <n v="37779226"/>
    <b v="0"/>
    <b v="0"/>
    <b v="0"/>
    <b v="1"/>
    <b v="0"/>
    <b v="1"/>
    <b v="1"/>
    <b v="0"/>
    <b v="0"/>
    <n v="0"/>
    <n v="0"/>
    <m/>
    <d v="2017-02-24T00:00:00"/>
    <n v="32127162"/>
    <d v="2017-02-21T00:00:00"/>
    <m/>
    <m/>
    <s v=""/>
    <b v="0"/>
    <m/>
    <m/>
    <d v="2017-02-20T00:00:00"/>
    <m/>
    <n v="791522"/>
    <b v="1"/>
    <m/>
    <m/>
    <m/>
    <x v="0"/>
    <b v="1"/>
    <n v="37779226"/>
    <s v="Stephanie"/>
    <s v="Kifowit"/>
    <s v="Illinois General Assembly"/>
    <s v=""/>
    <s v="Representative Stephanie A. Kifowit (D)_x000a_84th District_x0009_ _x0009__x000a__x000a_Springfield Office:_x000a_200-1S Stratton Office Building_x000a_Springfield, IL   62706_x000a_(217) 782-8028_x000a__x000a_District Office:_x000a_1677 Montgomery Rd._x000a_Ste. 116_x000a_Aurora, IL  60504_x000a_(630) 585-1308_x000a_(630) 585-1357 FAX"/>
    <s v="stephanie.kifowit@att.net"/>
    <s v=""/>
    <s v=""/>
    <s v=""/>
    <s v=""/>
    <s v=""/>
    <s v=""/>
    <s v=""/>
    <s v=""/>
    <s v=""/>
    <s v=""/>
    <s v=""/>
    <s v=""/>
    <s v=""/>
    <s v=""/>
    <s v=""/>
    <s v=""/>
    <s v="371616Newsletter Recipient, 371627House of Representatives"/>
    <m/>
    <x v="0"/>
  </r>
  <r>
    <n v="37819651"/>
    <b v="0"/>
    <b v="0"/>
    <b v="0"/>
    <b v="1"/>
    <b v="0"/>
    <b v="1"/>
    <b v="1"/>
    <b v="0"/>
    <b v="0"/>
    <n v="0"/>
    <n v="0"/>
    <m/>
    <d v="2018-02-12T00:00:00"/>
    <n v="32127162"/>
    <d v="2017-02-24T00:00:00"/>
    <m/>
    <m/>
    <s v=""/>
    <b v="0"/>
    <m/>
    <m/>
    <d v="2017-02-24T00:00:00"/>
    <m/>
    <n v="791522"/>
    <b v="1"/>
    <m/>
    <m/>
    <m/>
    <x v="0"/>
    <b v="1"/>
    <n v="37819651"/>
    <s v="Todd"/>
    <s v="Killion"/>
    <s v="Aetna Better Health of Illinois"/>
    <s v=""/>
    <s v=""/>
    <s v="killiont@aetna.com"/>
    <s v=""/>
    <s v=""/>
    <s v=""/>
    <s v=""/>
    <s v=""/>
    <s v=""/>
    <s v=""/>
    <s v=""/>
    <s v=""/>
    <s v=""/>
    <s v=""/>
    <s v=""/>
    <s v=""/>
    <s v=""/>
    <s v=""/>
    <s v=""/>
    <s v="371616Newsletter Recipient"/>
    <m/>
    <x v="0"/>
  </r>
  <r>
    <n v="37822529"/>
    <b v="0"/>
    <b v="0"/>
    <b v="0"/>
    <b v="1"/>
    <b v="0"/>
    <b v="1"/>
    <b v="1"/>
    <b v="0"/>
    <b v="0"/>
    <n v="0"/>
    <n v="0"/>
    <m/>
    <d v="2017-02-24T00:00:00"/>
    <n v="32127162"/>
    <d v="2017-02-24T00:00:00"/>
    <m/>
    <m/>
    <s v=""/>
    <b v="0"/>
    <m/>
    <m/>
    <d v="2017-02-24T00:00:00"/>
    <m/>
    <n v="791522"/>
    <b v="1"/>
    <m/>
    <m/>
    <m/>
    <x v="0"/>
    <b v="1"/>
    <n v="37822529"/>
    <s v="Assistant to Senator John G. Mulroe"/>
    <s v="Kimberly"/>
    <s v="Illinois General Assembly"/>
    <s v=""/>
    <s v=""/>
    <s v="kimberlyastark@gmail.com"/>
    <s v=""/>
    <s v=""/>
    <s v=""/>
    <s v=""/>
    <s v=""/>
    <s v=""/>
    <s v=""/>
    <s v=""/>
    <s v=""/>
    <s v=""/>
    <s v=""/>
    <s v=""/>
    <s v=""/>
    <s v=""/>
    <s v=""/>
    <s v=""/>
    <s v="371616Newsletter Recipient, 372319IGA Senate Staff"/>
    <m/>
    <x v="0"/>
  </r>
  <r>
    <n v="42775784"/>
    <b v="0"/>
    <b v="0"/>
    <b v="1"/>
    <b v="1"/>
    <b v="0"/>
    <b v="1"/>
    <b v="1"/>
    <b v="0"/>
    <b v="0"/>
    <n v="0"/>
    <n v="0"/>
    <m/>
    <d v="2018-06-21T00:00:00"/>
    <n v="32127162"/>
    <d v="2017-11-29T00:00:00"/>
    <d v="2017-11-29T00:00:00"/>
    <m/>
    <s v=""/>
    <b v="0"/>
    <m/>
    <m/>
    <d v="2018-06-21T00:00:00"/>
    <m/>
    <n v="791522"/>
    <b v="1"/>
    <m/>
    <d v="2018-06-21T00:00:00"/>
    <m/>
    <x v="0"/>
    <b v="1"/>
    <n v="42775784"/>
    <s v="Ellen"/>
    <s v="King"/>
    <s v="SIU Center for Family Center Medicine"/>
    <s v="CFO"/>
    <s v="Financial  coding billing collectionis"/>
    <s v="eking24@siumed.edu"/>
    <s v="217.747.0819"/>
    <s v=""/>
    <s v=""/>
    <s v=""/>
    <s v=""/>
    <s v="217.747.0819"/>
    <s v=""/>
    <s v="SIU Center for Family Center Medicine"/>
    <s v=""/>
    <s v=""/>
    <s v=""/>
    <s v=""/>
    <s v=""/>
    <s v=""/>
    <s v=""/>
    <s v=""/>
    <s v="371616Newsletter Recipient"/>
    <m/>
    <x v="0"/>
  </r>
  <r>
    <n v="46436632"/>
    <b v="0"/>
    <b v="0"/>
    <b v="0"/>
    <b v="1"/>
    <b v="0"/>
    <b v="1"/>
    <b v="1"/>
    <b v="0"/>
    <b v="0"/>
    <n v="0"/>
    <n v="0"/>
    <m/>
    <d v="2018-06-21T00:00:00"/>
    <n v="32127162"/>
    <d v="2018-06-21T00:00:00"/>
    <m/>
    <m/>
    <s v=""/>
    <b v="0"/>
    <m/>
    <m/>
    <d v="2018-06-21T00:00:00"/>
    <m/>
    <n v="791522"/>
    <b v="1"/>
    <m/>
    <d v="2018-06-21T00:00:00"/>
    <m/>
    <x v="0"/>
    <b v="1"/>
    <n v="46436632"/>
    <s v="Lance"/>
    <s v="King"/>
    <s v="Merck Vaccines"/>
    <s v=""/>
    <s v=""/>
    <s v="lance.king@merck.com"/>
    <s v=""/>
    <s v=""/>
    <s v=""/>
    <s v=""/>
    <s v=""/>
    <s v=""/>
    <s v=""/>
    <s v="Merck Vaccines"/>
    <s v=""/>
    <s v=""/>
    <s v=""/>
    <s v=""/>
    <s v=""/>
    <s v=""/>
    <s v=""/>
    <s v=""/>
    <s v="371616Newsletter Recipient"/>
    <m/>
    <x v="0"/>
  </r>
  <r>
    <n v="34088302"/>
    <b v="0"/>
    <b v="0"/>
    <b v="0"/>
    <b v="1"/>
    <b v="0"/>
    <b v="1"/>
    <b v="1"/>
    <b v="0"/>
    <b v="0"/>
    <n v="0"/>
    <n v="0"/>
    <m/>
    <d v="2018-03-02T00:00:00"/>
    <n v="32127162"/>
    <d v="2016-08-29T00:00:00"/>
    <m/>
    <m/>
    <s v=""/>
    <b v="0"/>
    <m/>
    <m/>
    <d v="2016-08-29T00:00:00"/>
    <m/>
    <n v="791522"/>
    <b v="1"/>
    <m/>
    <m/>
    <m/>
    <x v="0"/>
    <b v="1"/>
    <n v="34088302"/>
    <s v="Jeanne"/>
    <s v="Klein"/>
    <s v="CountyCare Health Plan"/>
    <s v=""/>
    <s v="Manager of Provider Relations"/>
    <s v="JKlein2@cookcountyhhs.org"/>
    <s v="312-864-0947"/>
    <s v=""/>
    <s v=""/>
    <s v=""/>
    <s v=""/>
    <s v=""/>
    <s v=""/>
    <s v=""/>
    <s v=""/>
    <s v=""/>
    <s v=""/>
    <s v=""/>
    <s v=""/>
    <s v=""/>
    <s v=""/>
    <s v=""/>
    <s v="371616Newsletter Recipient"/>
    <m/>
    <x v="0"/>
  </r>
  <r>
    <n v="39536006"/>
    <b v="0"/>
    <b v="0"/>
    <b v="0"/>
    <b v="1"/>
    <b v="0"/>
    <b v="1"/>
    <b v="1"/>
    <b v="0"/>
    <b v="0"/>
    <n v="0"/>
    <n v="0"/>
    <m/>
    <d v="2018-03-23T00:00:00"/>
    <n v="32127162"/>
    <d v="2017-06-28T00:00:00"/>
    <m/>
    <m/>
    <s v=""/>
    <b v="0"/>
    <m/>
    <m/>
    <d v="2017-06-28T00:00:00"/>
    <m/>
    <n v="791522"/>
    <b v="1"/>
    <m/>
    <m/>
    <m/>
    <x v="0"/>
    <b v="1"/>
    <n v="39536006"/>
    <s v="Crystal"/>
    <s v="Klier"/>
    <s v="Meridian Health Plan"/>
    <s v=""/>
    <s v=""/>
    <s v="Crystal.Klier@mhplan.com"/>
    <s v="312.705.2900 x21537"/>
    <s v=""/>
    <s v=""/>
    <s v=""/>
    <s v=""/>
    <s v="312.508.7205"/>
    <s v=""/>
    <s v=""/>
    <s v=""/>
    <s v=""/>
    <s v=""/>
    <s v=""/>
    <s v=""/>
    <s v=""/>
    <s v=""/>
    <s v=""/>
    <s v="335736Provider Relations - Committee Members, 371616Newsletter Recipient, 420932FQHC - Contracts, 420933FQHC - Claims &amp; Billing, 420941Hospitals - Contracts, 420942Hospitals - Claims &amp; Billing, 420950Physicians - Contracts, 420951Physicians - Claims &amp; Billing, 420953Public Health Department - Contracts, 420954Public Health Department - Claims &amp; Billing"/>
    <s v="10633525Contracts, 10633526Claims/Billing"/>
    <x v="0"/>
  </r>
  <r>
    <n v="45397864"/>
    <b v="0"/>
    <b v="0"/>
    <b v="0"/>
    <b v="1"/>
    <b v="0"/>
    <b v="1"/>
    <b v="1"/>
    <b v="0"/>
    <b v="0"/>
    <n v="0"/>
    <n v="0"/>
    <m/>
    <d v="2018-05-29T00:00:00"/>
    <n v="32127162"/>
    <d v="2018-05-18T00:00:00"/>
    <m/>
    <m/>
    <s v=""/>
    <b v="0"/>
    <m/>
    <m/>
    <d v="2018-05-18T00:00:00"/>
    <m/>
    <n v="791522"/>
    <b v="1"/>
    <m/>
    <d v="2018-05-18T00:00:00"/>
    <m/>
    <x v="0"/>
    <b v="1"/>
    <n v="45397864"/>
    <s v="Thomas"/>
    <s v="Kline"/>
    <s v="Molina Healthcare of Illinois, Inc."/>
    <s v=""/>
    <s v=""/>
    <s v="thomas.kline@molinahealthcare.com"/>
    <s v=""/>
    <s v=""/>
    <s v=""/>
    <s v=""/>
    <s v=""/>
    <s v=""/>
    <s v=""/>
    <s v=""/>
    <s v=""/>
    <s v=""/>
    <s v=""/>
    <s v=""/>
    <s v=""/>
    <s v=""/>
    <s v=""/>
    <s v=""/>
    <s v="335736Provider Relations - Committee Members, 371616Newsletter Recipient, 372297Operations Committee, 447857HFS Ops Workgroup"/>
    <m/>
    <x v="0"/>
  </r>
  <r>
    <n v="42366351"/>
    <b v="0"/>
    <b v="0"/>
    <b v="0"/>
    <b v="1"/>
    <b v="0"/>
    <b v="1"/>
    <b v="1"/>
    <b v="0"/>
    <b v="0"/>
    <n v="0"/>
    <n v="0"/>
    <m/>
    <d v="2018-02-12T00:00:00"/>
    <n v="32127162"/>
    <d v="2017-10-31T00:00:00"/>
    <m/>
    <m/>
    <s v=""/>
    <b v="0"/>
    <m/>
    <m/>
    <d v="2017-10-31T00:00:00"/>
    <m/>
    <n v="791522"/>
    <b v="1"/>
    <m/>
    <d v="2017-10-31T00:00:00"/>
    <m/>
    <x v="0"/>
    <b v="1"/>
    <n v="42366351"/>
    <s v="Rebecca"/>
    <s v="Knapp"/>
    <s v="Payer Compass, LLC"/>
    <s v=""/>
    <s v=""/>
    <s v="rknapp@payercompass.com"/>
    <s v=""/>
    <s v=""/>
    <s v=""/>
    <s v=""/>
    <s v=""/>
    <s v=""/>
    <s v=""/>
    <s v=""/>
    <s v=""/>
    <s v=""/>
    <s v=""/>
    <s v=""/>
    <s v=""/>
    <s v=""/>
    <s v=""/>
    <s v=""/>
    <s v="371616Newsletter Recipient"/>
    <m/>
    <x v="0"/>
  </r>
  <r>
    <n v="37822864"/>
    <b v="0"/>
    <b v="0"/>
    <b v="0"/>
    <b v="1"/>
    <b v="0"/>
    <b v="1"/>
    <b v="1"/>
    <b v="0"/>
    <b v="0"/>
    <n v="0"/>
    <n v="0"/>
    <m/>
    <d v="2017-02-24T00:00:00"/>
    <n v="32127162"/>
    <d v="2017-02-24T00:00:00"/>
    <m/>
    <m/>
    <s v=""/>
    <b v="0"/>
    <m/>
    <m/>
    <d v="2017-02-24T00:00:00"/>
    <m/>
    <n v="791522"/>
    <b v="1"/>
    <m/>
    <m/>
    <m/>
    <x v="0"/>
    <b v="1"/>
    <n v="37822864"/>
    <s v="John"/>
    <s v="Knight"/>
    <s v=""/>
    <s v=""/>
    <s v=""/>
    <s v="jknight@aclu-il.org"/>
    <s v=""/>
    <s v=""/>
    <s v=""/>
    <s v=""/>
    <s v=""/>
    <s v=""/>
    <s v=""/>
    <s v=""/>
    <s v=""/>
    <s v=""/>
    <s v=""/>
    <s v=""/>
    <s v=""/>
    <s v=""/>
    <s v=""/>
    <s v=""/>
    <s v="371616Newsletter Recipient"/>
    <m/>
    <x v="0"/>
  </r>
  <r>
    <n v="37770594"/>
    <b v="0"/>
    <b v="0"/>
    <b v="0"/>
    <b v="1"/>
    <b v="0"/>
    <b v="1"/>
    <b v="1"/>
    <b v="0"/>
    <b v="0"/>
    <n v="0"/>
    <n v="0"/>
    <m/>
    <d v="2017-02-24T00:00:00"/>
    <n v="32127162"/>
    <d v="2017-02-20T00:00:00"/>
    <m/>
    <m/>
    <s v=""/>
    <b v="0"/>
    <m/>
    <m/>
    <d v="2017-02-20T00:00:00"/>
    <m/>
    <n v="791522"/>
    <b v="1"/>
    <m/>
    <m/>
    <m/>
    <x v="0"/>
    <b v="1"/>
    <n v="37770594"/>
    <s v="David"/>
    <s v="Koehler"/>
    <s v="Illinois General Assembly"/>
    <s v="Senator"/>
    <s v="Senator David Koehler (D)_x000a_46th District_x0009_ _x0009__x000a__x000a_Springfield Office:_x000a_Senator 46th District_x000a_M113 Capitol Building_x000a_Springfield, IL   62706_x000a_(217) 782-8250_x000a_(217) 782-2115 FAX_x000a_ _x000a_District Office:_x000a_400 NE. Jefferson_x000a_Suite 200_x000a_Peoria, IL  61603_x000a_(309) 677-0120"/>
    <s v="senatordavekoehler@gmail.com"/>
    <s v=""/>
    <s v=""/>
    <s v=""/>
    <s v="46illinois@gmail.com"/>
    <s v=""/>
    <s v="(217) 782-8250"/>
    <s v=""/>
    <s v=""/>
    <s v=""/>
    <s v=""/>
    <s v=""/>
    <s v=""/>
    <s v=""/>
    <s v=""/>
    <s v=""/>
    <s v=""/>
    <s v="371609Senator, 371616Newsletter Recipient"/>
    <m/>
    <x v="0"/>
  </r>
  <r>
    <n v="37822554"/>
    <b v="0"/>
    <b v="0"/>
    <b v="0"/>
    <b v="1"/>
    <b v="0"/>
    <b v="1"/>
    <b v="1"/>
    <b v="0"/>
    <b v="0"/>
    <n v="0"/>
    <n v="0"/>
    <m/>
    <d v="2018-02-12T00:00:00"/>
    <n v="32127162"/>
    <d v="2017-02-24T00:00:00"/>
    <m/>
    <m/>
    <s v=""/>
    <b v="0"/>
    <m/>
    <m/>
    <d v="2017-02-24T00:00:00"/>
    <m/>
    <n v="791522"/>
    <b v="1"/>
    <m/>
    <m/>
    <m/>
    <x v="0"/>
    <b v="1"/>
    <n v="37822554"/>
    <s v="Stephen"/>
    <s v="Konsin Sr."/>
    <s v="Syrtis Solutions"/>
    <s v=""/>
    <s v=""/>
    <s v="skonsin@syrtissolutions.com"/>
    <s v=""/>
    <s v=""/>
    <s v=""/>
    <s v=""/>
    <s v=""/>
    <s v=""/>
    <s v=""/>
    <s v=""/>
    <s v=""/>
    <s v=""/>
    <s v=""/>
    <s v=""/>
    <s v=""/>
    <s v=""/>
    <s v=""/>
    <s v=""/>
    <s v="371616Newsletter Recipient"/>
    <m/>
    <x v="0"/>
  </r>
  <r>
    <n v="37822558"/>
    <b v="0"/>
    <b v="0"/>
    <b v="0"/>
    <b v="1"/>
    <b v="0"/>
    <b v="1"/>
    <b v="1"/>
    <b v="0"/>
    <b v="0"/>
    <n v="0"/>
    <n v="0"/>
    <m/>
    <d v="2018-02-12T00:00:00"/>
    <n v="32127162"/>
    <d v="2017-02-24T00:00:00"/>
    <m/>
    <m/>
    <s v=""/>
    <b v="0"/>
    <m/>
    <m/>
    <d v="2017-02-24T00:00:00"/>
    <m/>
    <n v="791522"/>
    <b v="1"/>
    <m/>
    <m/>
    <m/>
    <x v="0"/>
    <b v="1"/>
    <n v="37822558"/>
    <s v="Stephen N."/>
    <s v="Konsin"/>
    <s v="Syrtis Solutions"/>
    <s v=""/>
    <s v=""/>
    <s v="nkonsin@syrtissolutions.com"/>
    <s v=""/>
    <s v=""/>
    <s v=""/>
    <s v=""/>
    <s v=""/>
    <s v=""/>
    <s v=""/>
    <s v=""/>
    <s v=""/>
    <s v=""/>
    <s v=""/>
    <s v=""/>
    <s v=""/>
    <s v=""/>
    <s v=""/>
    <s v=""/>
    <s v="371616Newsletter Recipient"/>
    <m/>
    <x v="0"/>
  </r>
  <r>
    <n v="43725181"/>
    <b v="0"/>
    <b v="0"/>
    <b v="0"/>
    <b v="1"/>
    <b v="0"/>
    <b v="1"/>
    <b v="1"/>
    <b v="0"/>
    <b v="0"/>
    <n v="0"/>
    <n v="0"/>
    <m/>
    <d v="2018-02-12T00:00:00"/>
    <n v="32127162"/>
    <d v="2018-02-12T00:00:00"/>
    <m/>
    <m/>
    <s v=""/>
    <b v="0"/>
    <m/>
    <m/>
    <d v="2018-02-12T00:00:00"/>
    <m/>
    <n v="791522"/>
    <b v="1"/>
    <m/>
    <d v="2018-02-12T00:00:00"/>
    <m/>
    <x v="0"/>
    <b v="1"/>
    <n v="43725181"/>
    <s v="Liam"/>
    <s v="Kopel"/>
    <s v="IlliniCare Health"/>
    <s v=""/>
    <s v=""/>
    <s v="lkopel@illinicare.com"/>
    <s v=""/>
    <s v=""/>
    <s v=""/>
    <s v=""/>
    <s v=""/>
    <s v=""/>
    <s v=""/>
    <s v=""/>
    <s v="Director, Network Operations"/>
    <s v=""/>
    <s v=""/>
    <s v=""/>
    <s v=""/>
    <s v=""/>
    <s v=""/>
    <s v=""/>
    <m/>
    <m/>
    <x v="0"/>
  </r>
  <r>
    <n v="37819653"/>
    <b v="0"/>
    <b v="0"/>
    <b v="0"/>
    <b v="1"/>
    <b v="0"/>
    <b v="1"/>
    <b v="1"/>
    <b v="0"/>
    <b v="0"/>
    <n v="0"/>
    <n v="0"/>
    <m/>
    <d v="2017-02-24T00:00:00"/>
    <n v="32127162"/>
    <d v="2017-02-24T00:00:00"/>
    <m/>
    <m/>
    <s v=""/>
    <b v="0"/>
    <m/>
    <m/>
    <d v="2017-02-24T00:00:00"/>
    <m/>
    <n v="791522"/>
    <b v="1"/>
    <m/>
    <m/>
    <m/>
    <x v="0"/>
    <b v="1"/>
    <n v="37819653"/>
    <s v="Kenneth"/>
    <s v="Koshorek"/>
    <s v="Meridian Health Plan"/>
    <s v=""/>
    <s v=""/>
    <s v="kenneth.koshorek@mhplan.com"/>
    <s v=""/>
    <s v=""/>
    <s v=""/>
    <s v=""/>
    <s v=""/>
    <s v=""/>
    <s v=""/>
    <s v=""/>
    <s v="Assistant General Counse"/>
    <s v=""/>
    <s v=""/>
    <s v=""/>
    <s v=""/>
    <s v=""/>
    <s v=""/>
    <s v=""/>
    <s v="371616Newsletter Recipient"/>
    <m/>
    <x v="0"/>
  </r>
  <r>
    <n v="37819654"/>
    <b v="0"/>
    <b v="0"/>
    <b v="0"/>
    <b v="1"/>
    <b v="0"/>
    <b v="1"/>
    <b v="1"/>
    <b v="0"/>
    <b v="0"/>
    <n v="0"/>
    <n v="0"/>
    <m/>
    <d v="2017-02-24T00:00:00"/>
    <n v="32127162"/>
    <d v="2017-02-24T00:00:00"/>
    <m/>
    <m/>
    <s v=""/>
    <b v="0"/>
    <m/>
    <m/>
    <d v="2017-02-24T00:00:00"/>
    <m/>
    <n v="791522"/>
    <b v="1"/>
    <m/>
    <m/>
    <m/>
    <x v="0"/>
    <b v="1"/>
    <n v="37819654"/>
    <s v="Brea"/>
    <s v="Kottkamp"/>
    <s v="Curry &amp; Associates, L.L.C."/>
    <s v=""/>
    <s v=""/>
    <s v=""/>
    <s v=""/>
    <s v=""/>
    <s v=""/>
    <s v=""/>
    <s v=""/>
    <s v=""/>
    <s v=""/>
    <s v=""/>
    <s v=""/>
    <s v=""/>
    <s v=""/>
    <s v=""/>
    <s v=""/>
    <s v=""/>
    <s v=""/>
    <s v=""/>
    <s v="371616Newsletter Recipient"/>
    <m/>
    <x v="0"/>
  </r>
  <r>
    <n v="34021534"/>
    <b v="0"/>
    <b v="0"/>
    <b v="0"/>
    <b v="1"/>
    <b v="0"/>
    <b v="1"/>
    <b v="1"/>
    <b v="0"/>
    <b v="0"/>
    <n v="0"/>
    <n v="0"/>
    <m/>
    <d v="2018-02-12T00:00:00"/>
    <n v="32127162"/>
    <d v="2016-08-22T00:00:00"/>
    <m/>
    <m/>
    <s v=""/>
    <b v="0"/>
    <m/>
    <m/>
    <d v="2016-08-22T00:00:00"/>
    <m/>
    <n v="791522"/>
    <b v="1"/>
    <m/>
    <m/>
    <m/>
    <x v="0"/>
    <b v="1"/>
    <n v="34021534"/>
    <s v="Christine"/>
    <s v="Kourouklis"/>
    <s v="Blue Cross Blue Shield of Illinois"/>
    <s v=""/>
    <s v=""/>
    <s v="Christine_Kourouklis@bcbsil.com"/>
    <s v=""/>
    <s v=""/>
    <s v=""/>
    <s v=""/>
    <s v=""/>
    <s v=""/>
    <s v=""/>
    <s v="Blue Cross Blue Shield of Illinois"/>
    <s v=""/>
    <s v=""/>
    <s v=""/>
    <s v=""/>
    <s v=""/>
    <s v=""/>
    <s v=""/>
    <s v=""/>
    <s v="335742Chief Financial Officer, 371616Newsletter Recipient, 372294Finance Committee"/>
    <m/>
    <x v="0"/>
  </r>
  <r>
    <n v="43420942"/>
    <b v="0"/>
    <b v="0"/>
    <b v="0"/>
    <b v="1"/>
    <b v="0"/>
    <b v="1"/>
    <b v="1"/>
    <b v="0"/>
    <b v="0"/>
    <n v="0"/>
    <n v="0"/>
    <m/>
    <d v="2018-01-22T00:00:00"/>
    <n v="32127162"/>
    <d v="2018-01-22T00:00:00"/>
    <m/>
    <m/>
    <s v=""/>
    <b v="0"/>
    <m/>
    <m/>
    <d v="2018-01-22T00:00:00"/>
    <m/>
    <n v="791522"/>
    <b v="1"/>
    <m/>
    <d v="2018-01-22T00:00:00"/>
    <m/>
    <x v="0"/>
    <b v="1"/>
    <n v="43420942"/>
    <s v="Karen"/>
    <s v="Kramme"/>
    <s v="NextLevel Health"/>
    <s v=""/>
    <s v="Quality Director"/>
    <s v="karen.kramme@nlhpartners.com"/>
    <s v=""/>
    <s v=""/>
    <s v=""/>
    <s v=""/>
    <s v=""/>
    <s v=""/>
    <s v=""/>
    <s v=""/>
    <s v="Quality Director"/>
    <s v=""/>
    <s v=""/>
    <s v=""/>
    <s v=""/>
    <s v=""/>
    <s v=""/>
    <s v=""/>
    <s v="335745Quality Directors, 371616Newsletter Recipient, 372293Quality Committee"/>
    <m/>
    <x v="0"/>
  </r>
  <r>
    <n v="46436539"/>
    <b v="0"/>
    <b v="0"/>
    <b v="0"/>
    <b v="1"/>
    <b v="0"/>
    <b v="1"/>
    <b v="1"/>
    <b v="0"/>
    <b v="0"/>
    <n v="0"/>
    <n v="0"/>
    <m/>
    <d v="2018-06-21T00:00:00"/>
    <n v="32127162"/>
    <d v="2018-06-21T00:00:00"/>
    <m/>
    <m/>
    <s v=""/>
    <b v="0"/>
    <m/>
    <m/>
    <d v="2018-06-21T00:00:00"/>
    <m/>
    <n v="791522"/>
    <b v="1"/>
    <m/>
    <d v="2018-06-21T00:00:00"/>
    <m/>
    <x v="0"/>
    <b v="1"/>
    <n v="46436539"/>
    <s v="Linda"/>
    <s v="Krausz"/>
    <s v="Anderson Hospital"/>
    <s v=""/>
    <s v=""/>
    <s v="krauszl@andersonhospital.org"/>
    <s v=""/>
    <s v="F."/>
    <s v=""/>
    <s v=""/>
    <s v=""/>
    <s v=""/>
    <s v=""/>
    <s v="Anderson Hospital"/>
    <s v=""/>
    <s v=""/>
    <s v=""/>
    <s v=""/>
    <s v=""/>
    <s v=""/>
    <s v=""/>
    <s v=""/>
    <s v="371616Newsletter Recipient"/>
    <m/>
    <x v="0"/>
  </r>
  <r>
    <n v="37822607"/>
    <b v="0"/>
    <b v="0"/>
    <b v="0"/>
    <b v="1"/>
    <b v="0"/>
    <b v="1"/>
    <b v="1"/>
    <b v="0"/>
    <b v="0"/>
    <n v="0"/>
    <n v="0"/>
    <m/>
    <d v="2017-02-24T00:00:00"/>
    <n v="32127162"/>
    <d v="2017-02-24T00:00:00"/>
    <m/>
    <m/>
    <s v=""/>
    <b v="0"/>
    <m/>
    <m/>
    <d v="2017-02-24T00:00:00"/>
    <m/>
    <n v="791522"/>
    <b v="1"/>
    <m/>
    <m/>
    <m/>
    <x v="0"/>
    <b v="1"/>
    <n v="37822607"/>
    <s v="Andrew"/>
    <s v="Kretschmar"/>
    <s v=""/>
    <s v=""/>
    <s v=""/>
    <s v="akretschmar@alz.org"/>
    <s v=""/>
    <s v=""/>
    <s v=""/>
    <s v=""/>
    <s v=""/>
    <s v=""/>
    <s v=""/>
    <s v=""/>
    <s v=""/>
    <s v=""/>
    <s v=""/>
    <s v=""/>
    <s v=""/>
    <s v=""/>
    <s v=""/>
    <s v=""/>
    <s v="371616Newsletter Recipient"/>
    <m/>
    <x v="0"/>
  </r>
  <r>
    <n v="34021528"/>
    <b v="0"/>
    <b v="0"/>
    <b v="0"/>
    <b v="1"/>
    <b v="0"/>
    <b v="1"/>
    <b v="1"/>
    <b v="0"/>
    <b v="0"/>
    <n v="0"/>
    <n v="0"/>
    <m/>
    <d v="2018-01-12T00:00:00"/>
    <n v="32127162"/>
    <d v="2016-08-22T00:00:00"/>
    <m/>
    <m/>
    <s v=""/>
    <b v="0"/>
    <m/>
    <m/>
    <d v="2016-08-22T00:00:00"/>
    <m/>
    <n v="791522"/>
    <b v="1"/>
    <m/>
    <m/>
    <m/>
    <x v="0"/>
    <b v="1"/>
    <n v="34021528"/>
    <s v="Robert"/>
    <s v="Kritzler, MD"/>
    <s v="Community Care Alliance of Illinois (CCAI)"/>
    <s v=""/>
    <s v=""/>
    <s v="RKritzler@myfhn.com"/>
    <s v="312-995-1927"/>
    <s v=""/>
    <s v=""/>
    <s v="RKritzler2@myfhn.com"/>
    <s v=""/>
    <s v=""/>
    <s v=""/>
    <s v=""/>
    <s v=""/>
    <s v=""/>
    <s v=""/>
    <s v=""/>
    <s v=""/>
    <s v=""/>
    <s v=""/>
    <s v=""/>
    <m/>
    <m/>
    <x v="0"/>
  </r>
  <r>
    <n v="34090258"/>
    <b v="0"/>
    <b v="0"/>
    <b v="0"/>
    <b v="1"/>
    <b v="0"/>
    <b v="1"/>
    <b v="1"/>
    <b v="0"/>
    <b v="0"/>
    <n v="0"/>
    <n v="0"/>
    <m/>
    <d v="2018-03-21T00:00:00"/>
    <n v="32127162"/>
    <d v="2016-08-29T00:00:00"/>
    <m/>
    <m/>
    <s v=""/>
    <b v="0"/>
    <m/>
    <m/>
    <d v="2016-08-29T00:00:00"/>
    <m/>
    <n v="791522"/>
    <b v="1"/>
    <m/>
    <m/>
    <m/>
    <x v="0"/>
    <b v="1"/>
    <n v="34090258"/>
    <s v="Scott"/>
    <s v="Krugel"/>
    <s v="Family Health Network/Community Care Alliance of Illinois"/>
    <s v=""/>
    <s v=""/>
    <s v="SKrugel@myfhn.com"/>
    <s v="312-605-9828"/>
    <s v=""/>
    <s v=""/>
    <s v=""/>
    <s v=""/>
    <s v=""/>
    <s v=""/>
    <s v=""/>
    <s v=""/>
    <s v=""/>
    <s v=""/>
    <s v=""/>
    <s v=""/>
    <s v=""/>
    <s v=""/>
    <s v=""/>
    <m/>
    <m/>
    <x v="0"/>
  </r>
  <r>
    <n v="37819655"/>
    <b v="0"/>
    <b v="0"/>
    <b v="0"/>
    <b v="1"/>
    <b v="0"/>
    <b v="1"/>
    <b v="1"/>
    <b v="0"/>
    <b v="0"/>
    <n v="0"/>
    <n v="0"/>
    <m/>
    <d v="2017-02-24T00:00:00"/>
    <n v="32127162"/>
    <d v="2017-02-24T00:00:00"/>
    <m/>
    <m/>
    <s v=""/>
    <b v="0"/>
    <m/>
    <m/>
    <d v="2017-02-24T00:00:00"/>
    <m/>
    <n v="791522"/>
    <b v="1"/>
    <m/>
    <m/>
    <m/>
    <x v="0"/>
    <b v="1"/>
    <n v="37819655"/>
    <s v="Cathy"/>
    <s v="Kubicki"/>
    <s v="Family Health Network"/>
    <s v=""/>
    <s v=""/>
    <s v="ckubicki@myfhn.com"/>
    <s v=""/>
    <s v=""/>
    <s v=""/>
    <s v=""/>
    <s v=""/>
    <s v=""/>
    <s v=""/>
    <s v=""/>
    <s v=""/>
    <s v=""/>
    <s v=""/>
    <s v=""/>
    <s v=""/>
    <s v=""/>
    <s v=""/>
    <s v=""/>
    <s v="371616Newsletter Recipient"/>
    <m/>
    <x v="0"/>
  </r>
  <r>
    <n v="46434296"/>
    <b v="0"/>
    <b v="0"/>
    <b v="0"/>
    <b v="1"/>
    <b v="0"/>
    <b v="1"/>
    <b v="1"/>
    <b v="0"/>
    <b v="0"/>
    <n v="0"/>
    <n v="0"/>
    <m/>
    <d v="2018-06-21T00:00:00"/>
    <n v="32127162"/>
    <d v="2018-06-21T00:00:00"/>
    <m/>
    <m/>
    <s v=""/>
    <b v="0"/>
    <m/>
    <m/>
    <d v="2018-06-21T00:00:00"/>
    <m/>
    <n v="791522"/>
    <b v="1"/>
    <m/>
    <d v="2018-06-21T00:00:00"/>
    <m/>
    <x v="0"/>
    <b v="1"/>
    <n v="46434296"/>
    <s v="Lisa"/>
    <s v="Kugler"/>
    <s v="Blue Cross Blue Shield of Illinois"/>
    <s v=""/>
    <s v=""/>
    <s v="lisa_kugler@bcbsil.com"/>
    <s v=""/>
    <s v=""/>
    <s v=""/>
    <s v=""/>
    <s v=""/>
    <s v=""/>
    <s v=""/>
    <s v="Blue Cross Blue Shield of Illinois"/>
    <s v=""/>
    <s v=""/>
    <s v=""/>
    <s v=""/>
    <s v=""/>
    <s v=""/>
    <s v=""/>
    <s v=""/>
    <s v="371616Newsletter Recipient"/>
    <m/>
    <x v="0"/>
  </r>
  <r>
    <n v="42699240"/>
    <b v="0"/>
    <b v="0"/>
    <b v="1"/>
    <b v="1"/>
    <b v="0"/>
    <b v="1"/>
    <b v="1"/>
    <b v="0"/>
    <b v="0"/>
    <n v="0"/>
    <n v="0"/>
    <m/>
    <d v="2018-01-16T00:00:00"/>
    <n v="32127162"/>
    <d v="2017-11-20T00:00:00"/>
    <d v="2017-11-20T00:00:00"/>
    <m/>
    <s v=""/>
    <b v="0"/>
    <m/>
    <m/>
    <d v="2018-01-04T00:00:00"/>
    <m/>
    <n v="791522"/>
    <b v="1"/>
    <m/>
    <d v="2018-01-05T00:00:00"/>
    <m/>
    <x v="0"/>
    <b v="1"/>
    <n v="42699240"/>
    <s v="Kathy"/>
    <s v="Kujawa"/>
    <s v="The Baby Fold"/>
    <s v="Vice President - Business Operations"/>
    <s v="Finance, Billing, HR, IT, Facilities, Support Services"/>
    <s v="kkujawa@thebabyfold.org"/>
    <s v="309-451-7209"/>
    <s v=""/>
    <s v=""/>
    <s v=""/>
    <s v=""/>
    <s v=""/>
    <s v="309-452-0115"/>
    <s v="The Baby Fold"/>
    <s v="Vice President - Business Operations"/>
    <s v=""/>
    <s v=""/>
    <s v=""/>
    <s v=""/>
    <s v=""/>
    <s v=""/>
    <s v=""/>
    <s v="371616Newsletter Recipient"/>
    <m/>
    <x v="0"/>
  </r>
  <r>
    <n v="37819656"/>
    <b v="0"/>
    <b v="0"/>
    <b v="0"/>
    <b v="1"/>
    <b v="0"/>
    <b v="1"/>
    <b v="1"/>
    <b v="0"/>
    <b v="0"/>
    <n v="0"/>
    <n v="0"/>
    <m/>
    <d v="2017-02-24T00:00:00"/>
    <n v="32127162"/>
    <d v="2017-02-24T00:00:00"/>
    <m/>
    <m/>
    <s v=""/>
    <b v="0"/>
    <m/>
    <m/>
    <d v="2017-02-24T00:00:00"/>
    <m/>
    <n v="791522"/>
    <b v="1"/>
    <m/>
    <m/>
    <m/>
    <x v="0"/>
    <b v="1"/>
    <n v="37819656"/>
    <s v="Diane"/>
    <s v="Kumarich"/>
    <s v="Addus HealthCare, Inc."/>
    <s v=""/>
    <s v=""/>
    <s v="dkumarich@addus.com"/>
    <s v=""/>
    <s v=""/>
    <s v=""/>
    <s v=""/>
    <s v=""/>
    <s v=""/>
    <s v=""/>
    <s v=""/>
    <s v="VP National Contracts and Managed Care Business Development"/>
    <s v=""/>
    <s v=""/>
    <s v=""/>
    <s v=""/>
    <s v=""/>
    <s v=""/>
    <s v=""/>
    <s v="371616Newsletter Recipient"/>
    <m/>
    <x v="0"/>
  </r>
  <r>
    <n v="46435950"/>
    <b v="0"/>
    <b v="0"/>
    <b v="0"/>
    <b v="1"/>
    <b v="0"/>
    <b v="1"/>
    <b v="1"/>
    <b v="0"/>
    <b v="0"/>
    <n v="0"/>
    <n v="0"/>
    <m/>
    <d v="2018-06-21T00:00:00"/>
    <n v="32127162"/>
    <d v="2018-06-21T00:00:00"/>
    <m/>
    <m/>
    <s v=""/>
    <b v="0"/>
    <m/>
    <m/>
    <d v="2018-06-21T00:00:00"/>
    <m/>
    <n v="791522"/>
    <b v="1"/>
    <m/>
    <d v="2018-06-21T00:00:00"/>
    <m/>
    <x v="0"/>
    <b v="1"/>
    <n v="46435950"/>
    <s v="Pamela"/>
    <s v="Kummer"/>
    <s v="Advocate Physician Partners"/>
    <s v=""/>
    <s v=""/>
    <s v="pamela.kummer@advocatehealth.com"/>
    <s v=""/>
    <s v=""/>
    <s v=""/>
    <s v=""/>
    <s v=""/>
    <s v=""/>
    <s v=""/>
    <s v="Advocate Physician Partners"/>
    <s v=""/>
    <s v=""/>
    <s v=""/>
    <s v=""/>
    <s v=""/>
    <s v=""/>
    <s v=""/>
    <s v=""/>
    <s v="371616Newsletter Recipient"/>
    <m/>
    <x v="0"/>
  </r>
  <r>
    <n v="37822500"/>
    <b v="0"/>
    <b v="0"/>
    <b v="0"/>
    <b v="1"/>
    <b v="0"/>
    <b v="1"/>
    <b v="1"/>
    <b v="0"/>
    <b v="0"/>
    <n v="0"/>
    <n v="0"/>
    <m/>
    <d v="2017-02-24T00:00:00"/>
    <n v="32127162"/>
    <d v="2017-02-24T00:00:00"/>
    <m/>
    <m/>
    <s v=""/>
    <b v="0"/>
    <m/>
    <m/>
    <d v="2017-02-24T00:00:00"/>
    <m/>
    <n v="791522"/>
    <b v="1"/>
    <m/>
    <m/>
    <m/>
    <x v="0"/>
    <b v="1"/>
    <n v="37822500"/>
    <s v="Assistant to Senator Mattie Hunter"/>
    <s v="L Newman"/>
    <s v="Illinois General Assembly"/>
    <s v=""/>
    <s v=""/>
    <s v="lnewman@senatedem.ilga.gov"/>
    <s v=""/>
    <s v=""/>
    <s v=""/>
    <s v=""/>
    <s v=""/>
    <s v=""/>
    <s v=""/>
    <s v=""/>
    <s v=""/>
    <s v=""/>
    <s v=""/>
    <s v=""/>
    <s v=""/>
    <s v=""/>
    <s v=""/>
    <s v=""/>
    <s v="371616Newsletter Recipient, 372319IGA Senate Staff"/>
    <m/>
    <x v="0"/>
  </r>
  <r>
    <n v="37822518"/>
    <b v="0"/>
    <b v="0"/>
    <b v="0"/>
    <b v="1"/>
    <b v="0"/>
    <b v="1"/>
    <b v="1"/>
    <b v="0"/>
    <b v="0"/>
    <n v="0"/>
    <n v="0"/>
    <m/>
    <d v="2017-02-24T00:00:00"/>
    <n v="32127162"/>
    <d v="2017-02-24T00:00:00"/>
    <m/>
    <m/>
    <s v=""/>
    <b v="0"/>
    <m/>
    <m/>
    <d v="2017-02-24T00:00:00"/>
    <m/>
    <n v="791522"/>
    <b v="1"/>
    <m/>
    <m/>
    <m/>
    <x v="0"/>
    <b v="1"/>
    <n v="37822518"/>
    <s v="Assistant to Senator Andy Manar"/>
    <s v="Lacey"/>
    <s v="Illinois General Assembly"/>
    <s v=""/>
    <s v=""/>
    <s v="lacey@senatorandymanar.com"/>
    <s v=""/>
    <s v=""/>
    <s v=""/>
    <s v=""/>
    <s v=""/>
    <s v=""/>
    <s v=""/>
    <s v=""/>
    <s v=""/>
    <s v=""/>
    <s v=""/>
    <s v=""/>
    <s v=""/>
    <s v=""/>
    <s v=""/>
    <s v=""/>
    <s v="371616Newsletter Recipient, 372319IGA Senate Staff"/>
    <m/>
    <x v="0"/>
  </r>
  <r>
    <n v="44665349"/>
    <b v="0"/>
    <b v="0"/>
    <b v="0"/>
    <b v="1"/>
    <b v="0"/>
    <b v="1"/>
    <b v="1"/>
    <b v="0"/>
    <b v="0"/>
    <n v="0"/>
    <n v="0"/>
    <m/>
    <d v="2018-04-16T00:00:00"/>
    <n v="32127162"/>
    <d v="2018-04-16T00:00:00"/>
    <m/>
    <m/>
    <s v=""/>
    <b v="0"/>
    <m/>
    <m/>
    <d v="2018-04-16T00:00:00"/>
    <m/>
    <n v="791522"/>
    <b v="1"/>
    <m/>
    <d v="2018-04-16T00:00:00"/>
    <m/>
    <x v="0"/>
    <b v="1"/>
    <n v="44665349"/>
    <s v="Tammy"/>
    <s v="Lackland"/>
    <s v="Molina Healthcare of Illinois, Inc."/>
    <s v=""/>
    <s v=""/>
    <s v="tammy.lackland@molinahealthcare.com"/>
    <s v=""/>
    <s v=""/>
    <s v=""/>
    <s v=""/>
    <s v=""/>
    <s v=""/>
    <s v=""/>
    <s v=""/>
    <s v=""/>
    <s v=""/>
    <s v=""/>
    <s v=""/>
    <s v=""/>
    <s v=""/>
    <s v=""/>
    <s v=""/>
    <s v="371616Newsletter Recipient, 372306Marketing Committee"/>
    <m/>
    <x v="0"/>
  </r>
  <r>
    <n v="37819659"/>
    <b v="0"/>
    <b v="0"/>
    <b v="0"/>
    <b v="1"/>
    <b v="0"/>
    <b v="1"/>
    <b v="1"/>
    <b v="0"/>
    <b v="0"/>
    <n v="0"/>
    <n v="0"/>
    <m/>
    <d v="2018-03-22T00:00:00"/>
    <n v="32090502"/>
    <d v="2017-02-24T00:00:00"/>
    <m/>
    <m/>
    <s v=""/>
    <b v="0"/>
    <m/>
    <m/>
    <d v="2017-02-24T00:00:00"/>
    <m/>
    <n v="791522"/>
    <b v="1"/>
    <m/>
    <m/>
    <m/>
    <x v="0"/>
    <b v="1"/>
    <n v="37819659"/>
    <s v="Ron"/>
    <s v="Lampert"/>
    <s v="Meridian Health Plan"/>
    <s v=""/>
    <s v=""/>
    <s v="ronald.lampert@mhplan.com"/>
    <s v="312.980.2357"/>
    <s v=""/>
    <s v=""/>
    <s v=""/>
    <s v=""/>
    <s v=""/>
    <s v=""/>
    <s v=""/>
    <s v=""/>
    <s v=""/>
    <s v=""/>
    <s v=""/>
    <s v=""/>
    <s v=""/>
    <s v=""/>
    <s v=""/>
    <s v="335736Provider Relations - Committee Members, 371616Newsletter Recipient, 420973Children's Services - Contracts, 420974Children's Services - Claims &amp; Billing"/>
    <s v="10633525Contracts, 10633526Claims/Billing"/>
    <x v="0"/>
  </r>
  <r>
    <n v="37770598"/>
    <b v="0"/>
    <b v="0"/>
    <b v="0"/>
    <b v="1"/>
    <b v="0"/>
    <b v="1"/>
    <b v="1"/>
    <b v="0"/>
    <b v="0"/>
    <n v="0"/>
    <n v="0"/>
    <m/>
    <d v="2017-02-24T00:00:00"/>
    <n v="32127162"/>
    <d v="2017-02-20T00:00:00"/>
    <m/>
    <m/>
    <s v=""/>
    <b v="0"/>
    <m/>
    <m/>
    <d v="2017-02-20T00:00:00"/>
    <m/>
    <n v="791522"/>
    <b v="1"/>
    <m/>
    <m/>
    <m/>
    <x v="0"/>
    <b v="1"/>
    <n v="37770598"/>
    <s v="Steven"/>
    <s v="Landek"/>
    <s v="Illinois General Assembly"/>
    <s v=""/>
    <s v="Senator Steven M. Landek (D)_x000a_12th District _x0009__x000a__x000a_Springfield Office:_x000a_Senator 12th District_x000a_113 Capitol Building_x000a_Springfield, IL   62706_x000a_(217) 782-0054_x000a_ _x000a_District Office:_x000a_6215 W. 79th Street_x000a_Suite 1A_x000a_Burbank, IL  60459_x000a_(708) 430-2510"/>
    <s v=""/>
    <s v=""/>
    <s v=""/>
    <s v=""/>
    <s v=""/>
    <s v=""/>
    <s v="(217) 782-0054"/>
    <s v=""/>
    <s v=""/>
    <s v=""/>
    <s v=""/>
    <s v=""/>
    <s v=""/>
    <s v=""/>
    <s v=""/>
    <s v=""/>
    <s v=""/>
    <s v="371609Senator, 371616Newsletter Recipient"/>
    <m/>
    <x v="0"/>
  </r>
  <r>
    <n v="37779234"/>
    <b v="0"/>
    <b v="0"/>
    <b v="0"/>
    <b v="1"/>
    <b v="0"/>
    <b v="1"/>
    <b v="1"/>
    <b v="0"/>
    <b v="0"/>
    <n v="0"/>
    <n v="0"/>
    <m/>
    <d v="2017-02-24T00:00:00"/>
    <n v="32127162"/>
    <d v="2017-02-21T00:00:00"/>
    <m/>
    <m/>
    <s v=""/>
    <b v="0"/>
    <m/>
    <m/>
    <d v="2017-02-20T00:00:00"/>
    <m/>
    <n v="791522"/>
    <b v="1"/>
    <m/>
    <m/>
    <m/>
    <x v="0"/>
    <b v="1"/>
    <n v="37779234"/>
    <s v="Lou"/>
    <s v="Lang"/>
    <s v="Illinois General Assembly"/>
    <s v=""/>
    <s v="Representative Lou Lang (D)_x000a_16th District_x000a_Deputy Majority Leader_x000a__x000a_Springfield Office:_x000a_300 Capitol Building_x000a_Springfield, IL   62706_x000a_(217) 782-1252_x000a_(217) 782-9903 FAX_x000a__x000a_District Office:_x000a_4121 Main Street_x000a_Skokie, IL  60076_x000a_(847) 673-1131_x000a_(847) 982-0393 FAX"/>
    <s v="langli@ilga.gov"/>
    <s v=""/>
    <s v=""/>
    <s v=""/>
    <s v=""/>
    <s v=""/>
    <s v=""/>
    <s v=""/>
    <s v=""/>
    <s v=""/>
    <s v=""/>
    <s v=""/>
    <s v=""/>
    <s v=""/>
    <s v=""/>
    <s v=""/>
    <s v=""/>
    <s v="371616Newsletter Recipient, 371627House of Representatives"/>
    <m/>
    <x v="0"/>
  </r>
  <r>
    <n v="37819797"/>
    <b v="0"/>
    <b v="0"/>
    <b v="0"/>
    <b v="1"/>
    <b v="0"/>
    <b v="1"/>
    <b v="1"/>
    <b v="0"/>
    <b v="0"/>
    <n v="0"/>
    <n v="0"/>
    <m/>
    <d v="2017-02-24T00:00:00"/>
    <n v="32127162"/>
    <d v="2017-02-24T00:00:00"/>
    <m/>
    <m/>
    <s v=""/>
    <b v="0"/>
    <m/>
    <m/>
    <d v="2017-02-24T00:00:00"/>
    <m/>
    <n v="791522"/>
    <b v="1"/>
    <m/>
    <m/>
    <m/>
    <x v="0"/>
    <b v="1"/>
    <n v="37819797"/>
    <s v="Matthew"/>
    <s v="Langer"/>
    <s v="IlliniCare Health"/>
    <s v=""/>
    <s v=""/>
    <s v="mlanger@illinicare.com"/>
    <s v=""/>
    <s v=""/>
    <s v=""/>
    <s v=""/>
    <s v=""/>
    <s v=""/>
    <s v=""/>
    <s v=""/>
    <s v=""/>
    <s v=""/>
    <s v=""/>
    <s v=""/>
    <s v=""/>
    <s v=""/>
    <s v=""/>
    <s v=""/>
    <s v="371616Newsletter Recipient"/>
    <m/>
    <x v="0"/>
  </r>
  <r>
    <n v="44047269"/>
    <b v="0"/>
    <b v="0"/>
    <b v="0"/>
    <b v="1"/>
    <b v="0"/>
    <b v="1"/>
    <b v="1"/>
    <b v="0"/>
    <b v="0"/>
    <n v="0"/>
    <n v="0"/>
    <m/>
    <d v="2018-03-02T00:00:00"/>
    <n v="32127162"/>
    <d v="2018-03-02T00:00:00"/>
    <m/>
    <m/>
    <s v=""/>
    <b v="0"/>
    <m/>
    <m/>
    <d v="2018-03-02T00:00:00"/>
    <m/>
    <n v="791522"/>
    <b v="1"/>
    <m/>
    <d v="2018-03-02T00:00:00"/>
    <m/>
    <x v="0"/>
    <b v="1"/>
    <n v="44047269"/>
    <s v="Amy"/>
    <s v="Langord"/>
    <s v="Health Services Advisory Group"/>
    <s v=""/>
    <s v=""/>
    <s v="alangord@hsag.com"/>
    <s v=""/>
    <s v=""/>
    <s v=""/>
    <s v=""/>
    <s v=""/>
    <s v=""/>
    <s v=""/>
    <s v=""/>
    <s v=""/>
    <s v=""/>
    <s v=""/>
    <s v=""/>
    <s v=""/>
    <s v=""/>
    <s v=""/>
    <s v=""/>
    <s v="371616Newsletter Recipient"/>
    <m/>
    <x v="0"/>
  </r>
  <r>
    <n v="37819798"/>
    <b v="0"/>
    <b v="0"/>
    <b v="0"/>
    <b v="1"/>
    <b v="0"/>
    <b v="1"/>
    <b v="1"/>
    <b v="0"/>
    <b v="0"/>
    <n v="0"/>
    <n v="0"/>
    <m/>
    <d v="2018-05-29T00:00:00"/>
    <n v="32127162"/>
    <d v="2017-02-24T00:00:00"/>
    <m/>
    <m/>
    <s v=""/>
    <b v="0"/>
    <m/>
    <m/>
    <d v="2017-02-24T00:00:00"/>
    <m/>
    <n v="791522"/>
    <b v="1"/>
    <m/>
    <m/>
    <m/>
    <x v="0"/>
    <b v="1"/>
    <n v="37819798"/>
    <s v="Brianna"/>
    <s v="Lantz"/>
    <s v=""/>
    <s v=""/>
    <s v=""/>
    <s v="briannalantz@gmail.com"/>
    <s v=""/>
    <s v=""/>
    <s v=""/>
    <s v=""/>
    <s v=""/>
    <s v=""/>
    <s v=""/>
    <s v=""/>
    <s v=""/>
    <s v=""/>
    <s v=""/>
    <s v=""/>
    <s v=""/>
    <s v=""/>
    <s v=""/>
    <s v=""/>
    <s v="335736Provider Relations - Committee Members, 335741Chief Executive Officer, 335747Government Relations, 371616Newsletter Recipient, 372293Quality Committee, 372294Finance Committee, 372295Board of Directors/General Distribution List, 372296Legislative Committee, 372297Operations Committee, 372306Marketing Committee, 372312IHA-IAMHP Working Group, 3767711115 Workgroup, 428250Hospital Assessment, 428788Pharmacy Director Committee, 441580Compliance Committee, 447857HFS Ops Workgroup"/>
    <m/>
    <x v="0"/>
  </r>
  <r>
    <n v="37822616"/>
    <b v="0"/>
    <b v="0"/>
    <b v="0"/>
    <b v="1"/>
    <b v="0"/>
    <b v="1"/>
    <b v="1"/>
    <b v="0"/>
    <b v="0"/>
    <n v="0"/>
    <n v="0"/>
    <m/>
    <d v="2017-02-24T00:00:00"/>
    <n v="32127162"/>
    <d v="2017-02-24T00:00:00"/>
    <m/>
    <m/>
    <s v=""/>
    <b v="0"/>
    <m/>
    <m/>
    <d v="2017-02-24T00:00:00"/>
    <m/>
    <n v="791522"/>
    <b v="1"/>
    <m/>
    <m/>
    <m/>
    <x v="0"/>
    <b v="1"/>
    <n v="37822616"/>
    <s v="Jonathan"/>
    <s v="Lavin"/>
    <s v="Age Options"/>
    <s v=""/>
    <s v=""/>
    <s v="jon.lavin@ageoptions.org"/>
    <s v="708/383-0258"/>
    <s v=""/>
    <s v=""/>
    <s v=""/>
    <s v=""/>
    <s v=""/>
    <s v=""/>
    <s v=""/>
    <s v=""/>
    <s v=""/>
    <s v=""/>
    <s v=""/>
    <s v=""/>
    <s v=""/>
    <s v=""/>
    <s v=""/>
    <s v="371616Newsletter Recipient"/>
    <m/>
    <x v="0"/>
  </r>
  <r>
    <n v="40514896"/>
    <b v="0"/>
    <b v="0"/>
    <b v="0"/>
    <b v="1"/>
    <b v="0"/>
    <b v="1"/>
    <b v="1"/>
    <b v="0"/>
    <b v="0"/>
    <n v="0"/>
    <n v="0"/>
    <m/>
    <d v="2018-05-17T00:00:00"/>
    <n v="32127162"/>
    <d v="2017-07-12T00:00:00"/>
    <m/>
    <m/>
    <s v=""/>
    <b v="0"/>
    <m/>
    <m/>
    <d v="2017-07-12T00:00:00"/>
    <m/>
    <n v="791522"/>
    <b v="1"/>
    <m/>
    <m/>
    <m/>
    <x v="0"/>
    <b v="1"/>
    <n v="40514896"/>
    <s v="Nicole"/>
    <s v="Lee"/>
    <s v="Harmony Health Plan of Illinois - A WellCare Company"/>
    <s v=""/>
    <s v=""/>
    <s v="nicole.lee@wellcare.com"/>
    <s v=""/>
    <s v=""/>
    <s v=""/>
    <s v=""/>
    <s v=""/>
    <s v=""/>
    <s v=""/>
    <s v="Harmony Health Plan of Illinois - A WellCare Company"/>
    <s v=""/>
    <s v=""/>
    <s v=""/>
    <s v=""/>
    <s v=""/>
    <s v=""/>
    <s v=""/>
    <s v=""/>
    <s v="335700Behavioral Health - Vendor Contact, 371616Newsletter Recipient"/>
    <m/>
    <x v="0"/>
  </r>
  <r>
    <n v="37819803"/>
    <b v="0"/>
    <b v="0"/>
    <b v="0"/>
    <b v="1"/>
    <b v="0"/>
    <b v="1"/>
    <b v="1"/>
    <b v="0"/>
    <b v="0"/>
    <n v="0"/>
    <n v="0"/>
    <m/>
    <d v="2017-02-24T00:00:00"/>
    <n v="32127162"/>
    <d v="2017-02-24T00:00:00"/>
    <m/>
    <m/>
    <s v=""/>
    <b v="0"/>
    <m/>
    <m/>
    <d v="2017-02-24T00:00:00"/>
    <m/>
    <n v="791522"/>
    <b v="1"/>
    <m/>
    <m/>
    <m/>
    <x v="0"/>
    <b v="1"/>
    <n v="37819803"/>
    <s v="Jeanne"/>
    <s v="Lenaers"/>
    <s v=""/>
    <s v=""/>
    <s v=""/>
    <s v="jlenaers@centene.com"/>
    <s v=""/>
    <s v=""/>
    <s v=""/>
    <s v=""/>
    <s v=""/>
    <s v=""/>
    <s v=""/>
    <s v=""/>
    <s v=""/>
    <s v=""/>
    <s v=""/>
    <s v=""/>
    <s v=""/>
    <s v=""/>
    <s v=""/>
    <s v=""/>
    <s v="371616Newsletter Recipient"/>
    <m/>
    <x v="0"/>
  </r>
  <r>
    <n v="34486388"/>
    <b v="0"/>
    <b v="0"/>
    <b v="0"/>
    <b v="1"/>
    <b v="0"/>
    <b v="1"/>
    <b v="1"/>
    <b v="0"/>
    <b v="0"/>
    <n v="0"/>
    <n v="0"/>
    <m/>
    <d v="2018-03-22T00:00:00"/>
    <n v="32127162"/>
    <d v="2016-09-15T00:00:00"/>
    <m/>
    <m/>
    <s v=""/>
    <b v="0"/>
    <m/>
    <m/>
    <d v="2016-09-14T00:00:00"/>
    <m/>
    <n v="791522"/>
    <b v="1"/>
    <m/>
    <m/>
    <m/>
    <x v="0"/>
    <b v="1"/>
    <n v="34486388"/>
    <s v="Carol"/>
    <s v="Leonard"/>
    <s v="DentaQuest (Humana)"/>
    <s v=""/>
    <s v=""/>
    <s v="Carol.Leonard@dentaquest.com"/>
    <s v="(262) 834-3543"/>
    <s v=""/>
    <s v=""/>
    <s v=""/>
    <s v="262.290.1678"/>
    <s v=""/>
    <s v=""/>
    <s v=""/>
    <s v=""/>
    <s v=""/>
    <s v=""/>
    <s v=""/>
    <s v=""/>
    <s v=""/>
    <s v=""/>
    <s v=""/>
    <s v="371616Newsletter Recipient, 420926Dental - Contracts, 420927Dental - Claims &amp; Billing, 420928Dental - Care Coordination"/>
    <s v="10633525Contracts, 10633526Claims/Billing, 10633527Care Coordination"/>
    <x v="0"/>
  </r>
  <r>
    <n v="37822782"/>
    <b v="0"/>
    <b v="0"/>
    <b v="0"/>
    <b v="1"/>
    <b v="0"/>
    <b v="1"/>
    <b v="1"/>
    <b v="0"/>
    <b v="0"/>
    <n v="0"/>
    <n v="0"/>
    <m/>
    <d v="2017-02-24T00:00:00"/>
    <n v="32127162"/>
    <d v="2017-02-24T00:00:00"/>
    <m/>
    <m/>
    <s v=""/>
    <b v="0"/>
    <m/>
    <m/>
    <d v="2017-02-24T00:00:00"/>
    <m/>
    <n v="791522"/>
    <b v="1"/>
    <m/>
    <m/>
    <m/>
    <x v="0"/>
    <b v="1"/>
    <n v="37822782"/>
    <s v="Dan"/>
    <s v="Lesser"/>
    <s v="Shriver"/>
    <s v=""/>
    <s v=""/>
    <s v="danlesser@povertylaw.org"/>
    <s v=""/>
    <s v=""/>
    <s v=""/>
    <s v=""/>
    <s v=""/>
    <s v=""/>
    <s v=""/>
    <s v=""/>
    <s v=""/>
    <s v=""/>
    <s v=""/>
    <s v=""/>
    <s v=""/>
    <s v=""/>
    <s v=""/>
    <s v=""/>
    <s v="371616Newsletter Recipient"/>
    <m/>
    <x v="0"/>
  </r>
  <r>
    <n v="40815472"/>
    <b v="0"/>
    <b v="0"/>
    <b v="0"/>
    <b v="1"/>
    <b v="0"/>
    <b v="1"/>
    <b v="1"/>
    <b v="0"/>
    <b v="0"/>
    <n v="0"/>
    <n v="0"/>
    <m/>
    <d v="2018-02-12T00:00:00"/>
    <n v="32127162"/>
    <d v="2017-07-28T00:00:00"/>
    <m/>
    <m/>
    <s v=""/>
    <b v="0"/>
    <m/>
    <m/>
    <d v="2017-07-28T00:00:00"/>
    <m/>
    <n v="791522"/>
    <b v="1"/>
    <m/>
    <m/>
    <m/>
    <x v="0"/>
    <b v="1"/>
    <n v="40815472"/>
    <s v="David"/>
    <s v="Letwat"/>
    <s v="Aetna Better Health of Illinois"/>
    <s v=""/>
    <s v=""/>
    <s v="LetwatD@aetna.com"/>
    <s v=""/>
    <s v=""/>
    <s v=""/>
    <s v=""/>
    <s v=""/>
    <s v=""/>
    <s v=""/>
    <s v=""/>
    <s v=""/>
    <s v=""/>
    <s v=""/>
    <s v=""/>
    <s v=""/>
    <s v=""/>
    <s v=""/>
    <s v=""/>
    <s v="371616Newsletter Recipient"/>
    <m/>
    <x v="0"/>
  </r>
  <r>
    <n v="46436552"/>
    <b v="0"/>
    <b v="0"/>
    <b v="0"/>
    <b v="1"/>
    <b v="0"/>
    <b v="1"/>
    <b v="1"/>
    <b v="0"/>
    <b v="0"/>
    <n v="0"/>
    <n v="0"/>
    <m/>
    <d v="2018-06-21T00:00:00"/>
    <n v="32127162"/>
    <d v="2018-06-21T00:00:00"/>
    <m/>
    <m/>
    <s v=""/>
    <b v="0"/>
    <m/>
    <m/>
    <d v="2018-06-21T00:00:00"/>
    <m/>
    <n v="791522"/>
    <b v="1"/>
    <m/>
    <d v="2018-06-21T00:00:00"/>
    <m/>
    <x v="0"/>
    <b v="1"/>
    <n v="46436552"/>
    <s v="Lisa"/>
    <s v="Lew"/>
    <s v="Clearbrook"/>
    <s v=""/>
    <s v=""/>
    <s v="llew@clearbrook.org"/>
    <s v=""/>
    <s v=""/>
    <s v=""/>
    <s v=""/>
    <s v=""/>
    <s v=""/>
    <s v=""/>
    <s v="Clearbrook"/>
    <s v=""/>
    <s v=""/>
    <s v=""/>
    <s v=""/>
    <s v=""/>
    <s v=""/>
    <s v=""/>
    <s v=""/>
    <s v="371616Newsletter Recipient"/>
    <m/>
    <x v="0"/>
  </r>
  <r>
    <n v="37819804"/>
    <b v="0"/>
    <b v="0"/>
    <b v="1"/>
    <b v="1"/>
    <b v="0"/>
    <b v="1"/>
    <b v="1"/>
    <b v="0"/>
    <b v="0"/>
    <n v="0"/>
    <n v="0"/>
    <m/>
    <d v="2018-05-29T00:00:00"/>
    <n v="32127162"/>
    <d v="2017-02-24T00:00:00"/>
    <m/>
    <m/>
    <s v=""/>
    <b v="0"/>
    <m/>
    <m/>
    <d v="2017-02-24T00:00:00"/>
    <m/>
    <n v="791522"/>
    <b v="1"/>
    <m/>
    <m/>
    <m/>
    <x v="0"/>
    <b v="1"/>
    <n v="37819804"/>
    <s v="Tiffany"/>
    <s v="Lewis"/>
    <s v="IlliniCare Health"/>
    <s v=""/>
    <s v=""/>
    <s v="TILEWIS@illinicare.com"/>
    <s v=""/>
    <s v=""/>
    <s v=""/>
    <s v=""/>
    <s v=""/>
    <s v=""/>
    <s v=""/>
    <s v=""/>
    <s v=""/>
    <s v=""/>
    <s v=""/>
    <s v=""/>
    <s v=""/>
    <s v=""/>
    <s v=""/>
    <s v=""/>
    <s v="371616Newsletter Recipient, 372297Operations Committee, 447857HFS Ops Workgroup"/>
    <m/>
    <x v="0"/>
  </r>
  <r>
    <n v="38300131"/>
    <b v="0"/>
    <b v="0"/>
    <b v="0"/>
    <b v="1"/>
    <b v="0"/>
    <b v="1"/>
    <b v="1"/>
    <b v="0"/>
    <b v="0"/>
    <n v="0"/>
    <n v="0"/>
    <m/>
    <d v="2017-09-18T00:00:00"/>
    <n v="32127162"/>
    <d v="2017-03-29T00:00:00"/>
    <m/>
    <m/>
    <s v=""/>
    <b v="0"/>
    <m/>
    <m/>
    <d v="2017-03-29T00:00:00"/>
    <m/>
    <n v="791522"/>
    <b v="1"/>
    <m/>
    <m/>
    <m/>
    <x v="0"/>
    <b v="1"/>
    <n v="38300131"/>
    <s v="Larry"/>
    <s v="Lewis, Jr."/>
    <s v="Aetna Better Health of Illinois"/>
    <s v=""/>
    <s v=""/>
    <s v="lewisjrL@aetna.com"/>
    <s v=""/>
    <s v=""/>
    <s v=""/>
    <s v=""/>
    <s v="609.613.0111"/>
    <s v="609.278.4960"/>
    <s v=""/>
    <s v=""/>
    <s v=""/>
    <s v=""/>
    <s v=""/>
    <s v=""/>
    <s v=""/>
    <s v=""/>
    <s v=""/>
    <s v=""/>
    <s v="371616Newsletter Recipient, 372296Legislative Committee, 428250Hospital Assessment"/>
    <m/>
    <x v="0"/>
  </r>
  <r>
    <n v="39379865"/>
    <b v="0"/>
    <b v="0"/>
    <b v="0"/>
    <b v="1"/>
    <b v="0"/>
    <b v="1"/>
    <b v="1"/>
    <b v="0"/>
    <b v="0"/>
    <n v="0"/>
    <n v="0"/>
    <m/>
    <d v="2017-06-21T00:00:00"/>
    <n v="32127162"/>
    <d v="2017-06-19T00:00:00"/>
    <m/>
    <m/>
    <s v=""/>
    <b v="0"/>
    <m/>
    <m/>
    <d v="2017-06-19T00:00:00"/>
    <m/>
    <n v="791522"/>
    <b v="1"/>
    <m/>
    <m/>
    <m/>
    <x v="0"/>
    <b v="1"/>
    <n v="39379865"/>
    <s v="Dilane"/>
    <s v="Lfofton"/>
    <s v="Providence Health Services"/>
    <s v=""/>
    <s v=""/>
    <s v="dlofton@provlife.com"/>
    <s v=""/>
    <s v=""/>
    <s v=""/>
    <s v=""/>
    <s v=""/>
    <s v=""/>
    <s v=""/>
    <s v=""/>
    <s v=""/>
    <s v=""/>
    <s v=""/>
    <s v=""/>
    <s v=""/>
    <s v=""/>
    <s v=""/>
    <s v=""/>
    <s v="371616Newsletter Recipient"/>
    <m/>
    <x v="0"/>
  </r>
  <r>
    <n v="39536682"/>
    <b v="0"/>
    <b v="0"/>
    <b v="0"/>
    <b v="1"/>
    <b v="0"/>
    <b v="1"/>
    <b v="1"/>
    <b v="0"/>
    <b v="0"/>
    <n v="0"/>
    <n v="0"/>
    <m/>
    <d v="2018-06-22T00:00:00"/>
    <n v="32127162"/>
    <d v="2017-06-28T00:00:00"/>
    <m/>
    <m/>
    <s v=""/>
    <b v="0"/>
    <m/>
    <m/>
    <d v="2017-06-28T00:00:00"/>
    <m/>
    <n v="791522"/>
    <b v="1"/>
    <m/>
    <m/>
    <m/>
    <x v="0"/>
    <b v="1"/>
    <n v="39536682"/>
    <s v=""/>
    <s v="Liberty Dental"/>
    <s v="NextLevel Health"/>
    <s v=""/>
    <s v=""/>
    <s v="llin@libertydentalplan.com"/>
    <s v="888‐352‐7924"/>
    <s v=""/>
    <s v=""/>
    <s v=""/>
    <s v=""/>
    <s v=""/>
    <s v=""/>
    <s v="Liberty Dental"/>
    <s v=""/>
    <s v=""/>
    <s v=""/>
    <s v=""/>
    <s v=""/>
    <s v=""/>
    <s v=""/>
    <s v=""/>
    <s v="420926Dental - Contracts, 420927Dental - Claims &amp; Billing, 420928Dental - Care Coordination"/>
    <s v="10633525Contracts, 10633526Claims/Billing, 10633527Care Coordination"/>
    <x v="0"/>
  </r>
  <r>
    <n v="37779238"/>
    <b v="0"/>
    <b v="0"/>
    <b v="0"/>
    <b v="1"/>
    <b v="0"/>
    <b v="1"/>
    <b v="1"/>
    <b v="0"/>
    <b v="0"/>
    <n v="0"/>
    <n v="0"/>
    <m/>
    <d v="2017-02-24T00:00:00"/>
    <n v="32127162"/>
    <d v="2017-02-21T00:00:00"/>
    <m/>
    <m/>
    <s v=""/>
    <b v="0"/>
    <m/>
    <m/>
    <d v="2017-02-20T00:00:00"/>
    <m/>
    <n v="791522"/>
    <b v="1"/>
    <m/>
    <m/>
    <m/>
    <x v="0"/>
    <b v="1"/>
    <n v="37779238"/>
    <s v="Camille"/>
    <s v="Lilly"/>
    <s v="Illinois General Assembly"/>
    <s v=""/>
    <s v="Representative Camille Y. Lilly (D)_x000a_78th District _x0009__x000a__x000a_Springfield Office:_x000a_270-S Stratton Office Building_x000a_Springfield, IL   62706_x000a_(217) 782-6400_x000a_(217) 558-1054 FAX_x000a__x000a_District Office:_x000a_6937 W. North Ave._x000a_Oak Park, IL  60302_x000a_(708) 613-5939"/>
    <s v="staterepcamilleylilly@gmail.com"/>
    <s v=""/>
    <s v=""/>
    <s v=""/>
    <s v=""/>
    <s v=""/>
    <s v=""/>
    <s v=""/>
    <s v=""/>
    <s v=""/>
    <s v=""/>
    <s v=""/>
    <s v=""/>
    <s v=""/>
    <s v=""/>
    <s v=""/>
    <s v=""/>
    <s v="371616Newsletter Recipient, 371627House of Representatives"/>
    <m/>
    <x v="0"/>
  </r>
  <r>
    <n v="39253615"/>
    <b v="0"/>
    <b v="0"/>
    <b v="0"/>
    <b v="1"/>
    <b v="0"/>
    <b v="1"/>
    <b v="1"/>
    <b v="0"/>
    <b v="0"/>
    <n v="0"/>
    <n v="0"/>
    <m/>
    <d v="2017-12-06T00:00:00"/>
    <n v="32127162"/>
    <d v="2017-06-08T00:00:00"/>
    <m/>
    <m/>
    <s v=""/>
    <b v="0"/>
    <m/>
    <m/>
    <d v="2017-06-08T00:00:00"/>
    <m/>
    <n v="791522"/>
    <b v="1"/>
    <m/>
    <m/>
    <m/>
    <x v="0"/>
    <b v="1"/>
    <n v="39253615"/>
    <s v="Phyllis"/>
    <s v="Lin"/>
    <s v="BlueCross BlueShield of IL"/>
    <s v=""/>
    <s v=""/>
    <s v="phyllis_s_lin@bcbsil.com"/>
    <s v=""/>
    <s v=""/>
    <s v=""/>
    <s v=""/>
    <s v="630-440-5752"/>
    <s v="312-653-7785"/>
    <s v=""/>
    <s v=""/>
    <s v=""/>
    <s v=""/>
    <s v=""/>
    <s v=""/>
    <s v=""/>
    <s v=""/>
    <s v=""/>
    <s v=""/>
    <s v="371616Newsletter Recipient"/>
    <m/>
    <x v="0"/>
  </r>
  <r>
    <n v="39528864"/>
    <b v="0"/>
    <b v="0"/>
    <b v="0"/>
    <b v="1"/>
    <b v="0"/>
    <b v="1"/>
    <b v="1"/>
    <b v="0"/>
    <b v="0"/>
    <n v="0"/>
    <n v="0"/>
    <m/>
    <d v="2018-01-29T00:00:00"/>
    <n v="32127162"/>
    <d v="2017-06-27T00:00:00"/>
    <m/>
    <m/>
    <s v=""/>
    <b v="0"/>
    <m/>
    <m/>
    <d v="2017-06-27T00:00:00"/>
    <m/>
    <n v="791522"/>
    <b v="1"/>
    <m/>
    <m/>
    <m/>
    <x v="0"/>
    <b v="1"/>
    <n v="39528864"/>
    <s v="Max"/>
    <s v="Lindahl"/>
    <s v="Blue Cross Blue Shield"/>
    <s v=""/>
    <s v=""/>
    <s v="Mlindahl@primetherapeutics.com"/>
    <s v="312-777-4348"/>
    <s v=""/>
    <s v=""/>
    <s v=""/>
    <s v=""/>
    <s v=""/>
    <s v=""/>
    <s v=""/>
    <s v=""/>
    <s v=""/>
    <s v=""/>
    <s v=""/>
    <s v=""/>
    <s v=""/>
    <s v=""/>
    <s v=""/>
    <s v="371616Newsletter Recipient"/>
    <m/>
    <x v="0"/>
  </r>
  <r>
    <n v="43487266"/>
    <b v="0"/>
    <b v="0"/>
    <b v="0"/>
    <b v="1"/>
    <b v="0"/>
    <b v="1"/>
    <b v="1"/>
    <b v="0"/>
    <b v="0"/>
    <n v="0"/>
    <n v="0"/>
    <m/>
    <d v="2018-01-29T00:00:00"/>
    <n v="32127162"/>
    <d v="2018-01-29T00:00:00"/>
    <m/>
    <m/>
    <s v=""/>
    <b v="0"/>
    <m/>
    <m/>
    <d v="2018-01-28T00:00:00"/>
    <m/>
    <n v="791522"/>
    <b v="1"/>
    <m/>
    <d v="2018-01-29T00:00:00"/>
    <m/>
    <x v="0"/>
    <b v="1"/>
    <n v="43487266"/>
    <s v="Sonja"/>
    <s v="Linde"/>
    <s v="Blue Cross Blue Shield of Illinois"/>
    <s v=""/>
    <s v=""/>
    <s v="Sonja_Linde@bcbsil.com"/>
    <s v="(630) 824-6388"/>
    <s v=""/>
    <s v=""/>
    <s v=""/>
    <s v=""/>
    <s v=""/>
    <s v=""/>
    <s v=""/>
    <s v=""/>
    <s v=""/>
    <s v=""/>
    <s v=""/>
    <s v=""/>
    <s v=""/>
    <s v=""/>
    <s v=""/>
    <s v="371616Newsletter Recipient, 420931Durable Medical Equipment - Care Coordination, 420934FQHC - Care Coordination, 420937Home Health - Care Coordination, 420940Hospice - Care Coordination, 420952Physicians - Care Coordination, 420972Pharmacy/Pharmaceuticals - Care Coordination, 420989LTC - Care Coordination"/>
    <s v="10633527Care Coordination"/>
    <x v="0"/>
  </r>
  <r>
    <n v="37822618"/>
    <b v="0"/>
    <b v="0"/>
    <b v="0"/>
    <b v="1"/>
    <b v="0"/>
    <b v="1"/>
    <b v="1"/>
    <b v="0"/>
    <b v="0"/>
    <n v="0"/>
    <n v="0"/>
    <m/>
    <d v="2017-02-24T00:00:00"/>
    <n v="32127162"/>
    <d v="2017-02-24T00:00:00"/>
    <m/>
    <m/>
    <s v=""/>
    <b v="0"/>
    <m/>
    <m/>
    <d v="2017-02-24T00:00:00"/>
    <m/>
    <n v="791522"/>
    <b v="1"/>
    <m/>
    <m/>
    <m/>
    <x v="0"/>
    <b v="1"/>
    <n v="37822618"/>
    <s v="Marvin"/>
    <s v="Lindsey"/>
    <s v="CBHA"/>
    <s v=""/>
    <s v=""/>
    <s v="Mlindsey@cbha.net"/>
    <s v=""/>
    <s v=""/>
    <s v=""/>
    <s v=""/>
    <s v=""/>
    <s v=""/>
    <s v=""/>
    <s v=""/>
    <s v=""/>
    <s v=""/>
    <s v=""/>
    <s v=""/>
    <s v=""/>
    <s v=""/>
    <s v=""/>
    <s v=""/>
    <s v="371616Newsletter Recipient"/>
    <m/>
    <x v="0"/>
  </r>
  <r>
    <n v="37770608"/>
    <b v="0"/>
    <b v="0"/>
    <b v="0"/>
    <b v="1"/>
    <b v="0"/>
    <b v="1"/>
    <b v="1"/>
    <b v="0"/>
    <b v="0"/>
    <n v="0"/>
    <n v="0"/>
    <m/>
    <d v="2017-02-24T00:00:00"/>
    <n v="32127162"/>
    <d v="2017-02-20T00:00:00"/>
    <m/>
    <m/>
    <s v=""/>
    <b v="0"/>
    <m/>
    <m/>
    <d v="2017-02-20T00:00:00"/>
    <m/>
    <n v="791522"/>
    <b v="1"/>
    <m/>
    <m/>
    <m/>
    <x v="0"/>
    <b v="1"/>
    <n v="37770608"/>
    <s v="Terry"/>
    <s v="Link"/>
    <s v="Illinois General Assembly"/>
    <s v=""/>
    <s v="Senator Terry Link (D)_x000a_30th District_x000a_Assistant Majority Leader_x0009_ _x0009__x000a__x000a_Springfield Office:_x000a_Senator 30th District_x000a_321 Capitol Building_x000a_Springfield, IL   62706_x000a_(217) 782-8181_x000a_(217) 782-4450 FAX_x000a_ _x000a_District Office:_x000a_100 South Greenleaf Street_x000a_Gurnee, IL  60031_x000a_(847) 623-3006_x000a_(847) 623-3306 FAX"/>
    <s v=""/>
    <s v=""/>
    <s v=""/>
    <s v=""/>
    <s v=""/>
    <s v=""/>
    <s v="(217) 782-8181"/>
    <s v=""/>
    <s v=""/>
    <s v=""/>
    <s v=""/>
    <s v=""/>
    <s v=""/>
    <s v=""/>
    <s v=""/>
    <s v=""/>
    <s v=""/>
    <s v="371609Senator, 371616Newsletter Recipient"/>
    <m/>
    <x v="0"/>
  </r>
  <r>
    <n v="44781480"/>
    <b v="0"/>
    <b v="0"/>
    <b v="0"/>
    <b v="1"/>
    <b v="0"/>
    <b v="1"/>
    <b v="1"/>
    <b v="0"/>
    <b v="0"/>
    <n v="0"/>
    <n v="0"/>
    <m/>
    <d v="2018-04-24T00:00:00"/>
    <n v="32127162"/>
    <d v="2018-04-24T00:00:00"/>
    <m/>
    <m/>
    <s v=""/>
    <b v="0"/>
    <m/>
    <m/>
    <d v="2018-04-24T00:00:00"/>
    <m/>
    <n v="791522"/>
    <b v="1"/>
    <m/>
    <d v="2018-04-24T00:00:00"/>
    <m/>
    <x v="0"/>
    <b v="1"/>
    <n v="44781480"/>
    <s v="Ryan"/>
    <s v="Lipinski"/>
    <s v="Blue Cross Blue Shield of Illinois"/>
    <s v=""/>
    <s v=""/>
    <s v="ryan_t_lipinski@bcbsil.com"/>
    <s v="312.653.3217"/>
    <s v="Tyrrell"/>
    <s v=""/>
    <s v=""/>
    <s v=""/>
    <s v=""/>
    <s v=""/>
    <s v="Blue Cross Blue Shield of Illinois"/>
    <s v="Director, Government Programs Compliance"/>
    <s v=""/>
    <s v=""/>
    <s v=""/>
    <s v=""/>
    <s v=""/>
    <s v=""/>
    <s v=""/>
    <s v="350522Compliance Officer, 371616Newsletter Recipient, 441580Compliance Committee"/>
    <m/>
    <x v="0"/>
  </r>
  <r>
    <n v="37822516"/>
    <b v="0"/>
    <b v="0"/>
    <b v="0"/>
    <b v="1"/>
    <b v="0"/>
    <b v="1"/>
    <b v="1"/>
    <b v="0"/>
    <b v="0"/>
    <n v="0"/>
    <n v="0"/>
    <m/>
    <d v="2017-02-24T00:00:00"/>
    <n v="32127162"/>
    <d v="2017-02-24T00:00:00"/>
    <m/>
    <m/>
    <s v=""/>
    <b v="0"/>
    <m/>
    <m/>
    <d v="2017-02-24T00:00:00"/>
    <m/>
    <n v="791522"/>
    <b v="1"/>
    <m/>
    <m/>
    <m/>
    <x v="0"/>
    <b v="1"/>
    <n v="37822516"/>
    <s v="Assistant to Senator Andy Manar"/>
    <s v="Lisa"/>
    <s v="Illinois General Assembly"/>
    <s v=""/>
    <s v=""/>
    <s v="lisa@senatorandymanar.com"/>
    <s v=""/>
    <s v=""/>
    <s v=""/>
    <s v=""/>
    <s v=""/>
    <s v=""/>
    <s v=""/>
    <s v=""/>
    <s v=""/>
    <s v=""/>
    <s v=""/>
    <s v=""/>
    <s v=""/>
    <s v=""/>
    <s v=""/>
    <s v=""/>
    <s v="371616Newsletter Recipient, 372319IGA Senate Staff"/>
    <m/>
    <x v="0"/>
  </r>
  <r>
    <n v="42132641"/>
    <b v="0"/>
    <b v="0"/>
    <b v="0"/>
    <b v="1"/>
    <b v="0"/>
    <b v="1"/>
    <b v="1"/>
    <b v="0"/>
    <b v="0"/>
    <n v="0"/>
    <n v="0"/>
    <m/>
    <d v="2018-05-25T00:00:00"/>
    <n v="32127162"/>
    <d v="2017-10-24T00:00:00"/>
    <d v="2018-05-25T00:00:00"/>
    <m/>
    <s v=""/>
    <b v="1"/>
    <m/>
    <m/>
    <d v="2017-10-24T00:00:00"/>
    <m/>
    <n v="791522"/>
    <b v="1"/>
    <m/>
    <d v="2017-10-24T00:00:00"/>
    <m/>
    <x v="0"/>
    <b v="1"/>
    <n v="42132641"/>
    <s v="Steve"/>
    <s v="List"/>
    <s v="BWDC Medical Equipment"/>
    <s v=""/>
    <s v=""/>
    <s v="slbwme@gmail.com"/>
    <s v=""/>
    <s v=""/>
    <s v=""/>
    <s v=""/>
    <s v=""/>
    <s v=""/>
    <s v=""/>
    <s v=""/>
    <s v=""/>
    <s v=""/>
    <s v=""/>
    <s v=""/>
    <s v=""/>
    <s v=""/>
    <s v=""/>
    <s v=""/>
    <s v="371616Newsletter Recipient"/>
    <m/>
    <x v="0"/>
  </r>
  <r>
    <n v="46069970"/>
    <b v="0"/>
    <b v="0"/>
    <b v="0"/>
    <b v="1"/>
    <b v="0"/>
    <b v="1"/>
    <b v="1"/>
    <b v="0"/>
    <b v="0"/>
    <n v="0"/>
    <n v="0"/>
    <m/>
    <m/>
    <m/>
    <d v="2018-06-08T00:00:00"/>
    <m/>
    <m/>
    <s v=""/>
    <b v="0"/>
    <m/>
    <m/>
    <d v="2018-06-08T00:00:00"/>
    <m/>
    <n v="791522"/>
    <b v="1"/>
    <m/>
    <d v="2018-06-08T00:00:00"/>
    <m/>
    <x v="0"/>
    <b v="1"/>
    <n v="46069970"/>
    <s v="David"/>
    <s v="Livingston"/>
    <s v="Aetna Better Health of Illinois"/>
    <s v=""/>
    <s v=""/>
    <s v="livingstond@aetna.com"/>
    <s v=""/>
    <s v=""/>
    <s v=""/>
    <s v=""/>
    <s v=""/>
    <s v=""/>
    <s v=""/>
    <s v="Aetna Better Health Illinois Medicaid"/>
    <s v="CEO"/>
    <s v=""/>
    <s v=""/>
    <s v=""/>
    <s v=""/>
    <s v=""/>
    <s v=""/>
    <s v=""/>
    <s v="335741Chief Executive Officer, 372294Finance Committee, 372295Board of Directors/General Distribution List"/>
    <m/>
    <x v="0"/>
  </r>
  <r>
    <n v="43487277"/>
    <b v="0"/>
    <b v="0"/>
    <b v="0"/>
    <b v="1"/>
    <b v="0"/>
    <b v="1"/>
    <b v="1"/>
    <b v="0"/>
    <b v="0"/>
    <n v="0"/>
    <n v="0"/>
    <m/>
    <d v="2018-01-29T00:00:00"/>
    <n v="32127162"/>
    <d v="2018-01-29T00:00:00"/>
    <m/>
    <m/>
    <s v=""/>
    <b v="0"/>
    <m/>
    <m/>
    <d v="2018-01-28T00:00:00"/>
    <m/>
    <n v="791522"/>
    <b v="1"/>
    <m/>
    <d v="2018-01-29T00:00:00"/>
    <m/>
    <x v="0"/>
    <b v="1"/>
    <n v="43487277"/>
    <s v="Jeff"/>
    <s v="Logan"/>
    <s v="Blue Cross Blue Shield of Illinois"/>
    <s v=""/>
    <s v=""/>
    <s v="Jeff_logan@bcbsil.com"/>
    <s v=""/>
    <s v=""/>
    <s v=""/>
    <s v=""/>
    <s v=""/>
    <s v=""/>
    <s v=""/>
    <s v=""/>
    <s v=""/>
    <s v=""/>
    <s v=""/>
    <s v=""/>
    <s v=""/>
    <s v=""/>
    <s v=""/>
    <s v=""/>
    <s v="371616Newsletter Recipient, 420929Durable Medical Equipment - Contracts, 420935Home Health - Contracts, 420938Hospice - Contracts, 420987LTC - Contracts"/>
    <s v="10633525Contracts"/>
    <x v="0"/>
  </r>
  <r>
    <n v="34479722"/>
    <b v="0"/>
    <b v="0"/>
    <b v="0"/>
    <b v="1"/>
    <b v="0"/>
    <b v="1"/>
    <b v="1"/>
    <b v="0"/>
    <b v="0"/>
    <n v="0"/>
    <n v="0"/>
    <m/>
    <d v="2018-02-06T00:00:00"/>
    <n v="32127162"/>
    <d v="2016-09-14T00:00:00"/>
    <m/>
    <m/>
    <s v=""/>
    <b v="0"/>
    <m/>
    <m/>
    <d v="2016-09-14T00:00:00"/>
    <m/>
    <n v="791522"/>
    <b v="1"/>
    <m/>
    <m/>
    <m/>
    <x v="0"/>
    <b v="1"/>
    <n v="34479722"/>
    <s v="Kathy"/>
    <s v="Lojkovic"/>
    <s v="Aetna Better Health"/>
    <s v=""/>
    <s v=""/>
    <s v="Lojkovick@aetna.com"/>
    <s v="224-281-2690"/>
    <s v=""/>
    <s v=""/>
    <s v=""/>
    <s v=""/>
    <s v=""/>
    <s v=""/>
    <s v=""/>
    <s v=""/>
    <s v=""/>
    <s v=""/>
    <s v=""/>
    <s v=""/>
    <s v=""/>
    <s v=""/>
    <s v=""/>
    <s v="352827MMAI DUALS Pharmacy - Vendor Contact, 371616Newsletter Recipient, 372314Pharmacy Director, 428788Pharmacy Director Committee"/>
    <m/>
    <x v="0"/>
  </r>
  <r>
    <n v="37819809"/>
    <b v="0"/>
    <b v="0"/>
    <b v="0"/>
    <b v="1"/>
    <b v="0"/>
    <b v="1"/>
    <b v="1"/>
    <b v="0"/>
    <b v="0"/>
    <n v="0"/>
    <n v="0"/>
    <m/>
    <d v="2018-06-26T00:00:00"/>
    <n v="32127162"/>
    <d v="2017-02-24T00:00:00"/>
    <m/>
    <m/>
    <s v=""/>
    <b v="0"/>
    <m/>
    <m/>
    <d v="2017-02-24T00:00:00"/>
    <m/>
    <n v="791522"/>
    <b v="1"/>
    <m/>
    <m/>
    <m/>
    <x v="0"/>
    <b v="1"/>
    <n v="37819809"/>
    <s v="Lori"/>
    <s v="Lomahan"/>
    <s v="Molina Healthcare of Illinois, Inc."/>
    <s v=""/>
    <s v=""/>
    <s v="Lori.Lomahan@MolinaHealthCare.com"/>
    <s v=""/>
    <s v=""/>
    <s v=""/>
    <s v=""/>
    <s v=""/>
    <s v=""/>
    <s v=""/>
    <s v=""/>
    <s v=""/>
    <s v=""/>
    <s v=""/>
    <s v=""/>
    <s v=""/>
    <s v=""/>
    <s v=""/>
    <s v=""/>
    <s v="371616Newsletter Recipient, 3767711115 Workgroup, 443813Discharge Planning"/>
    <m/>
    <x v="0"/>
  </r>
  <r>
    <n v="43093326"/>
    <b v="0"/>
    <b v="0"/>
    <b v="0"/>
    <b v="1"/>
    <b v="0"/>
    <b v="1"/>
    <b v="1"/>
    <b v="0"/>
    <b v="0"/>
    <n v="0"/>
    <n v="0"/>
    <m/>
    <d v="2018-01-02T00:00:00"/>
    <n v="32127162"/>
    <d v="2018-01-02T00:00:00"/>
    <m/>
    <m/>
    <s v=""/>
    <b v="0"/>
    <m/>
    <m/>
    <d v="2018-01-02T00:00:00"/>
    <m/>
    <n v="791522"/>
    <b v="1"/>
    <m/>
    <d v="2018-01-02T00:00:00"/>
    <m/>
    <x v="0"/>
    <b v="1"/>
    <n v="43093326"/>
    <s v="Cindy"/>
    <s v="Lombardino"/>
    <s v="Tutera Senior Living &amp; Health"/>
    <s v=""/>
    <s v=""/>
    <s v="cindyl@tutera.com"/>
    <s v=""/>
    <s v=""/>
    <s v=""/>
    <s v=""/>
    <s v=""/>
    <s v=""/>
    <s v=""/>
    <s v=""/>
    <s v=""/>
    <s v=""/>
    <s v=""/>
    <s v=""/>
    <s v=""/>
    <s v=""/>
    <s v=""/>
    <s v=""/>
    <s v="371616Newsletter Recipient"/>
    <m/>
    <x v="0"/>
  </r>
  <r>
    <n v="37779240"/>
    <b v="0"/>
    <b v="0"/>
    <b v="0"/>
    <b v="1"/>
    <b v="0"/>
    <b v="1"/>
    <b v="1"/>
    <b v="0"/>
    <b v="0"/>
    <n v="0"/>
    <n v="0"/>
    <m/>
    <d v="2017-02-21T00:00:00"/>
    <n v="32127162"/>
    <d v="2017-02-21T00:00:00"/>
    <m/>
    <m/>
    <s v=""/>
    <b v="0"/>
    <m/>
    <m/>
    <d v="2017-02-20T00:00:00"/>
    <m/>
    <n v="791522"/>
    <b v="1"/>
    <m/>
    <m/>
    <m/>
    <x v="0"/>
    <b v="1"/>
    <n v="37779240"/>
    <s v="Jerry Lee"/>
    <s v="Long"/>
    <s v="Illinois General Assembly"/>
    <s v=""/>
    <s v="Representative Jerry Lee Long (R)_x000a_76th District _x0009__x000a__x000a_Springfield Office:_x000a_210A-W Stratton Office Building_x000a_Springfield, IL   62706_x000a_(217) 782-0140_x000a__x000a_District Office:_x000a_201 Danny's Drive_x000a_Suite 2_x000a_Streator, IL  61364_x000a_(815) 510-9689_x000a_(815) 510-9690 FAX"/>
    <s v=""/>
    <s v=""/>
    <s v=""/>
    <s v=""/>
    <s v=""/>
    <s v=""/>
    <s v=""/>
    <s v=""/>
    <s v=""/>
    <s v=""/>
    <s v=""/>
    <s v=""/>
    <s v=""/>
    <s v=""/>
    <s v=""/>
    <s v=""/>
    <s v=""/>
    <s v="371616Newsletter Recipient, 371627House of Representatives"/>
    <m/>
    <x v="0"/>
  </r>
  <r>
    <n v="34033730"/>
    <b v="0"/>
    <b v="0"/>
    <b v="0"/>
    <b v="1"/>
    <b v="0"/>
    <b v="1"/>
    <b v="1"/>
    <b v="0"/>
    <b v="0"/>
    <n v="0"/>
    <n v="0"/>
    <m/>
    <d v="2017-12-06T00:00:00"/>
    <n v="32127162"/>
    <d v="2016-08-23T00:00:00"/>
    <m/>
    <m/>
    <s v=""/>
    <b v="0"/>
    <m/>
    <m/>
    <d v="2016-08-23T00:00:00"/>
    <m/>
    <n v="791522"/>
    <b v="1"/>
    <m/>
    <m/>
    <m/>
    <x v="0"/>
    <b v="1"/>
    <n v="34033730"/>
    <s v="Peter"/>
    <s v="Lopatin"/>
    <s v="IlliniCare Health"/>
    <s v=""/>
    <s v=""/>
    <s v="PLopatin@illinicare.com"/>
    <s v="312-674-6173"/>
    <s v=""/>
    <s v=""/>
    <s v=""/>
    <s v=""/>
    <s v=""/>
    <s v=""/>
    <s v=""/>
    <s v=""/>
    <s v=""/>
    <s v=""/>
    <s v=""/>
    <s v=""/>
    <s v=""/>
    <s v=""/>
    <s v=""/>
    <s v="335745Quality Directors, 371616Newsletter Recipient, 372293Quality Committee"/>
    <m/>
    <x v="0"/>
  </r>
  <r>
    <n v="44047467"/>
    <b v="0"/>
    <b v="0"/>
    <b v="0"/>
    <b v="1"/>
    <b v="0"/>
    <b v="1"/>
    <b v="1"/>
    <b v="0"/>
    <b v="0"/>
    <n v="0"/>
    <n v="0"/>
    <m/>
    <d v="2018-03-02T00:00:00"/>
    <n v="32127162"/>
    <d v="2018-03-02T00:00:00"/>
    <m/>
    <m/>
    <s v=""/>
    <b v="0"/>
    <m/>
    <m/>
    <d v="2018-03-02T00:00:00"/>
    <m/>
    <n v="791522"/>
    <b v="1"/>
    <m/>
    <d v="2018-03-02T00:00:00"/>
    <m/>
    <x v="0"/>
    <b v="1"/>
    <n v="44047467"/>
    <s v="Chrystine"/>
    <s v="Lopez"/>
    <s v="Winnebago County Health Department"/>
    <s v=""/>
    <s v=""/>
    <s v="clopez@wchd.org"/>
    <s v=""/>
    <s v=""/>
    <s v=""/>
    <s v=""/>
    <s v=""/>
    <s v=""/>
    <s v=""/>
    <s v=""/>
    <s v=""/>
    <s v=""/>
    <s v=""/>
    <s v=""/>
    <s v=""/>
    <s v=""/>
    <s v=""/>
    <s v=""/>
    <s v="371616Newsletter Recipient"/>
    <m/>
    <x v="0"/>
  </r>
  <r>
    <n v="41808025"/>
    <b v="0"/>
    <b v="0"/>
    <b v="0"/>
    <b v="1"/>
    <b v="0"/>
    <b v="1"/>
    <b v="1"/>
    <b v="0"/>
    <b v="0"/>
    <n v="0"/>
    <n v="0"/>
    <m/>
    <m/>
    <m/>
    <d v="2017-09-30T00:00:00"/>
    <m/>
    <m/>
    <s v=""/>
    <b v="0"/>
    <m/>
    <m/>
    <d v="2017-09-29T00:00:00"/>
    <m/>
    <n v="791522"/>
    <b v="1"/>
    <m/>
    <d v="2017-09-30T00:00:00"/>
    <m/>
    <x v="0"/>
    <b v="1"/>
    <n v="41808025"/>
    <s v="Irma"/>
    <s v="Lopez"/>
    <s v="Lopez"/>
    <s v=""/>
    <s v=""/>
    <s v="irma.lopez@illinois.gov"/>
    <s v=""/>
    <s v=""/>
    <s v=""/>
    <s v=""/>
    <s v=""/>
    <s v=""/>
    <s v=""/>
    <s v=""/>
    <s v=""/>
    <s v=""/>
    <s v=""/>
    <s v=""/>
    <s v=""/>
    <s v=""/>
    <s v=""/>
    <s v=""/>
    <s v="371616Newsletter Recipient"/>
    <m/>
    <x v="0"/>
  </r>
  <r>
    <n v="46436534"/>
    <b v="0"/>
    <b v="0"/>
    <b v="0"/>
    <b v="1"/>
    <b v="0"/>
    <b v="1"/>
    <b v="1"/>
    <b v="0"/>
    <b v="0"/>
    <n v="0"/>
    <n v="0"/>
    <m/>
    <d v="2018-06-21T00:00:00"/>
    <n v="32127162"/>
    <d v="2018-06-21T00:00:00"/>
    <m/>
    <m/>
    <s v=""/>
    <b v="0"/>
    <m/>
    <m/>
    <d v="2018-06-21T00:00:00"/>
    <m/>
    <n v="791522"/>
    <b v="1"/>
    <m/>
    <d v="2018-06-21T00:00:00"/>
    <m/>
    <x v="0"/>
    <b v="1"/>
    <n v="46436534"/>
    <s v="Natalie"/>
    <s v="Lorenzin"/>
    <s v="Pathway To Living"/>
    <s v=""/>
    <s v=""/>
    <s v="nlorenzin@pathwaytoliving.com"/>
    <s v=""/>
    <s v=""/>
    <s v=""/>
    <s v=""/>
    <s v=""/>
    <s v=""/>
    <s v=""/>
    <s v="Pathway To Living"/>
    <s v=""/>
    <s v=""/>
    <s v=""/>
    <s v=""/>
    <s v=""/>
    <s v=""/>
    <s v=""/>
    <s v=""/>
    <s v="371616Newsletter Recipient"/>
    <m/>
    <x v="0"/>
  </r>
  <r>
    <n v="43218373"/>
    <b v="0"/>
    <b v="0"/>
    <b v="0"/>
    <b v="1"/>
    <b v="0"/>
    <b v="1"/>
    <b v="1"/>
    <b v="0"/>
    <b v="0"/>
    <n v="0"/>
    <n v="0"/>
    <m/>
    <d v="2018-01-10T00:00:00"/>
    <n v="32127162"/>
    <d v="2018-01-10T00:00:00"/>
    <m/>
    <m/>
    <s v=""/>
    <b v="0"/>
    <m/>
    <m/>
    <d v="2018-01-10T00:00:00"/>
    <m/>
    <n v="791522"/>
    <b v="1"/>
    <m/>
    <d v="2018-01-10T00:00:00"/>
    <m/>
    <x v="0"/>
    <b v="1"/>
    <n v="43218373"/>
    <s v="Heather"/>
    <s v="Losey"/>
    <s v="SSCFW"/>
    <s v=""/>
    <s v=""/>
    <s v="heather.losey@ssc-fortwayne.com"/>
    <s v=""/>
    <s v=""/>
    <s v=""/>
    <s v=""/>
    <s v=""/>
    <s v=""/>
    <s v=""/>
    <s v=""/>
    <s v=""/>
    <s v=""/>
    <s v=""/>
    <s v=""/>
    <s v=""/>
    <s v=""/>
    <s v=""/>
    <s v=""/>
    <s v="371616Newsletter Recipient"/>
    <m/>
    <x v="0"/>
  </r>
  <r>
    <n v="42709482"/>
    <b v="0"/>
    <b v="0"/>
    <b v="1"/>
    <b v="1"/>
    <b v="0"/>
    <b v="1"/>
    <b v="1"/>
    <b v="0"/>
    <b v="0"/>
    <n v="0"/>
    <n v="0"/>
    <m/>
    <d v="2017-12-14T00:00:00"/>
    <n v="32127162"/>
    <d v="2017-11-21T00:00:00"/>
    <d v="2017-11-21T00:00:00"/>
    <m/>
    <s v=""/>
    <b v="0"/>
    <m/>
    <m/>
    <d v="2017-11-21T00:00:00"/>
    <m/>
    <n v="791522"/>
    <b v="1"/>
    <m/>
    <d v="2017-11-21T00:00:00"/>
    <m/>
    <x v="0"/>
    <b v="1"/>
    <n v="42709482"/>
    <s v="Lisa"/>
    <s v="Loster"/>
    <s v="Proviso Township Mental Health Commission"/>
    <s v="Director of Program Administration"/>
    <s v=""/>
    <s v="lloster@ptmhc.org"/>
    <s v="708-449-5508"/>
    <s v=""/>
    <s v=""/>
    <s v=""/>
    <s v=""/>
    <s v=""/>
    <s v=""/>
    <s v=""/>
    <s v=""/>
    <s v=""/>
    <s v=""/>
    <s v=""/>
    <s v=""/>
    <s v=""/>
    <s v=""/>
    <s v=""/>
    <s v="371616Newsletter Recipient"/>
    <m/>
    <x v="0"/>
  </r>
  <r>
    <n v="43748551"/>
    <b v="0"/>
    <b v="0"/>
    <b v="0"/>
    <b v="1"/>
    <b v="0"/>
    <b v="1"/>
    <b v="1"/>
    <b v="0"/>
    <b v="0"/>
    <n v="0"/>
    <n v="0"/>
    <m/>
    <d v="2018-02-13T00:00:00"/>
    <n v="32127162"/>
    <d v="2018-02-13T00:00:00"/>
    <m/>
    <m/>
    <s v=""/>
    <b v="0"/>
    <m/>
    <m/>
    <d v="2018-02-13T00:00:00"/>
    <m/>
    <n v="791522"/>
    <b v="1"/>
    <m/>
    <d v="2018-02-13T00:00:00"/>
    <m/>
    <x v="0"/>
    <b v="1"/>
    <n v="43748551"/>
    <s v="Mary"/>
    <s v="Love"/>
    <s v="Blue Cross Blue Shield of Illinois"/>
    <s v=""/>
    <s v=""/>
    <s v="mary_x_love@bcbsil.com"/>
    <s v=""/>
    <s v=""/>
    <s v=""/>
    <s v=""/>
    <s v=""/>
    <s v=""/>
    <s v=""/>
    <s v=""/>
    <s v=""/>
    <s v=""/>
    <s v=""/>
    <s v=""/>
    <s v=""/>
    <s v=""/>
    <s v=""/>
    <s v=""/>
    <s v="371616Newsletter Recipient"/>
    <m/>
    <x v="0"/>
  </r>
  <r>
    <n v="37819813"/>
    <b v="0"/>
    <b v="0"/>
    <b v="0"/>
    <b v="1"/>
    <b v="0"/>
    <b v="1"/>
    <b v="1"/>
    <b v="0"/>
    <b v="0"/>
    <n v="0"/>
    <n v="0"/>
    <m/>
    <d v="2017-12-07T00:00:00"/>
    <n v="32127162"/>
    <d v="2017-02-24T00:00:00"/>
    <m/>
    <m/>
    <s v=""/>
    <b v="0"/>
    <m/>
    <m/>
    <d v="2017-02-24T00:00:00"/>
    <m/>
    <n v="791522"/>
    <b v="1"/>
    <m/>
    <m/>
    <m/>
    <x v="0"/>
    <b v="1"/>
    <n v="37819813"/>
    <s v="John"/>
    <s v="Lowder"/>
    <s v="Lowder Governmental Solutions, LLC"/>
    <s v=""/>
    <s v="John Lowder_x000a_Governmental Consulting Solutions, Inc./_x000a_Lowder Governmental Solutions, LLC_x000a_2301 Dunwich St Springfield, IL 62702_x000a_(217) 206-5078"/>
    <s v="jpcl1964@gmail.com"/>
    <s v="(217) 206-5078"/>
    <s v=""/>
    <s v=""/>
    <s v=""/>
    <s v=""/>
    <s v=""/>
    <s v=""/>
    <s v="Lowder Governmental Solutions, LLC"/>
    <s v=""/>
    <s v=""/>
    <s v=""/>
    <s v=""/>
    <s v=""/>
    <s v=""/>
    <s v=""/>
    <s v=""/>
    <s v="371616Newsletter Recipient, 372294Finance Committee, 372295Board of Directors/General Distribution List, 372296Legislative Committee, 428250Hospital Assessment"/>
    <m/>
    <x v="0"/>
  </r>
  <r>
    <n v="37822832"/>
    <b v="0"/>
    <b v="0"/>
    <b v="0"/>
    <b v="1"/>
    <b v="0"/>
    <b v="1"/>
    <b v="1"/>
    <b v="0"/>
    <b v="0"/>
    <n v="0"/>
    <n v="0"/>
    <m/>
    <d v="2017-02-24T00:00:00"/>
    <n v="32127162"/>
    <d v="2017-02-24T00:00:00"/>
    <m/>
    <m/>
    <s v=""/>
    <b v="0"/>
    <m/>
    <m/>
    <d v="2017-02-24T00:00:00"/>
    <m/>
    <n v="791522"/>
    <b v="1"/>
    <m/>
    <m/>
    <m/>
    <x v="0"/>
    <b v="1"/>
    <n v="37822832"/>
    <s v="Dave"/>
    <s v="Lowitski"/>
    <s v="Lowitzki Consulting"/>
    <s v=""/>
    <s v=""/>
    <s v="dave@lowitzkiconsulting.com"/>
    <s v=""/>
    <s v=""/>
    <s v=""/>
    <s v=""/>
    <s v=""/>
    <s v=""/>
    <s v=""/>
    <s v=""/>
    <s v=""/>
    <s v=""/>
    <s v=""/>
    <s v=""/>
    <s v=""/>
    <s v=""/>
    <s v=""/>
    <s v=""/>
    <s v="371616Newsletter Recipient"/>
    <m/>
    <x v="0"/>
  </r>
  <r>
    <n v="36577490"/>
    <b v="0"/>
    <b v="0"/>
    <b v="0"/>
    <b v="1"/>
    <b v="0"/>
    <b v="1"/>
    <b v="1"/>
    <b v="0"/>
    <b v="0"/>
    <n v="0"/>
    <n v="0"/>
    <m/>
    <d v="2018-01-22T00:00:00"/>
    <n v="32127162"/>
    <d v="2016-12-16T00:00:00"/>
    <m/>
    <m/>
    <s v=""/>
    <b v="0"/>
    <m/>
    <m/>
    <d v="2016-12-16T00:00:00"/>
    <m/>
    <n v="791522"/>
    <b v="1"/>
    <m/>
    <m/>
    <m/>
    <x v="0"/>
    <b v="1"/>
    <n v="36577490"/>
    <s v="Scott"/>
    <s v="Lubbehusen"/>
    <s v="NextLevel Health"/>
    <s v=""/>
    <s v=""/>
    <s v="Scott.Lubbehusen@nlhpartners.com"/>
    <s v=""/>
    <s v=""/>
    <s v=""/>
    <s v=""/>
    <s v=""/>
    <s v=""/>
    <s v=""/>
    <s v=""/>
    <s v=""/>
    <s v=""/>
    <s v=""/>
    <s v=""/>
    <s v=""/>
    <s v=""/>
    <s v=""/>
    <s v=""/>
    <s v="371616Newsletter Recipient"/>
    <m/>
    <x v="0"/>
  </r>
  <r>
    <n v="43417917"/>
    <b v="0"/>
    <b v="0"/>
    <b v="0"/>
    <b v="1"/>
    <b v="0"/>
    <b v="1"/>
    <b v="1"/>
    <b v="0"/>
    <b v="0"/>
    <n v="0"/>
    <n v="0"/>
    <m/>
    <d v="2018-02-12T00:00:00"/>
    <n v="32127162"/>
    <d v="2018-01-22T00:00:00"/>
    <m/>
    <m/>
    <s v=""/>
    <b v="0"/>
    <m/>
    <m/>
    <d v="2018-01-22T00:00:00"/>
    <m/>
    <n v="791522"/>
    <b v="1"/>
    <m/>
    <d v="2018-01-22T00:00:00"/>
    <m/>
    <x v="0"/>
    <b v="1"/>
    <n v="43417917"/>
    <s v="Caitlin"/>
    <s v="Lueck"/>
    <s v="Meridian Health Plan"/>
    <s v=""/>
    <s v="Quality Director (Illinois)"/>
    <s v="caitlin.lueck@mhplan.com"/>
    <s v=""/>
    <s v=""/>
    <s v=""/>
    <s v=""/>
    <s v=""/>
    <s v=""/>
    <s v=""/>
    <s v=""/>
    <s v="Quality Director (Illinois)"/>
    <s v=""/>
    <s v=""/>
    <s v=""/>
    <s v=""/>
    <s v=""/>
    <s v=""/>
    <s v=""/>
    <s v="335745Quality Directors, 371616Newsletter Recipient, 372293Quality Committee"/>
    <m/>
    <x v="0"/>
  </r>
  <r>
    <n v="40840714"/>
    <b v="0"/>
    <b v="0"/>
    <b v="1"/>
    <b v="1"/>
    <b v="0"/>
    <b v="1"/>
    <b v="1"/>
    <b v="0"/>
    <b v="0"/>
    <n v="0"/>
    <n v="0"/>
    <m/>
    <d v="2017-11-19T00:00:00"/>
    <n v="32127162"/>
    <d v="2017-08-01T00:00:00"/>
    <m/>
    <m/>
    <s v=""/>
    <b v="0"/>
    <m/>
    <m/>
    <d v="2017-08-01T00:00:00"/>
    <m/>
    <n v="791522"/>
    <b v="1"/>
    <m/>
    <m/>
    <m/>
    <x v="0"/>
    <b v="1"/>
    <n v="40840714"/>
    <s v="Robyn"/>
    <s v="Luke"/>
    <s v="Memorial Behavioral Health"/>
    <s v=""/>
    <s v=""/>
    <s v="luke.robyn@mhsil.com"/>
    <s v=""/>
    <s v=""/>
    <s v=""/>
    <s v=""/>
    <s v=""/>
    <s v=""/>
    <s v=""/>
    <s v=""/>
    <s v=""/>
    <s v=""/>
    <s v=""/>
    <s v=""/>
    <s v=""/>
    <s v=""/>
    <s v=""/>
    <s v=""/>
    <s v="371616Newsletter Recipient"/>
    <m/>
    <x v="0"/>
  </r>
  <r>
    <n v="46436511"/>
    <b v="0"/>
    <b v="0"/>
    <b v="0"/>
    <b v="1"/>
    <b v="0"/>
    <b v="1"/>
    <b v="1"/>
    <b v="0"/>
    <b v="0"/>
    <n v="0"/>
    <n v="0"/>
    <m/>
    <d v="2018-06-21T00:00:00"/>
    <n v="32127162"/>
    <d v="2018-06-21T00:00:00"/>
    <m/>
    <m/>
    <s v=""/>
    <b v="0"/>
    <m/>
    <m/>
    <d v="2018-06-21T00:00:00"/>
    <m/>
    <n v="791522"/>
    <b v="1"/>
    <m/>
    <d v="2018-06-21T00:00:00"/>
    <m/>
    <x v="0"/>
    <b v="1"/>
    <n v="46436511"/>
    <s v="Ann"/>
    <s v="Lundy"/>
    <s v="ACCESS Community Health Network"/>
    <s v=""/>
    <s v=""/>
    <s v="ann.lundy@achn.net"/>
    <s v=""/>
    <s v=""/>
    <s v=""/>
    <s v=""/>
    <s v=""/>
    <s v=""/>
    <s v=""/>
    <s v="ACCESS Community Health Network"/>
    <s v=""/>
    <s v=""/>
    <s v=""/>
    <s v=""/>
    <s v=""/>
    <s v=""/>
    <s v=""/>
    <s v=""/>
    <s v="371616Newsletter Recipient"/>
    <m/>
    <x v="0"/>
  </r>
  <r>
    <n v="34087274"/>
    <b v="0"/>
    <b v="0"/>
    <b v="0"/>
    <b v="1"/>
    <b v="0"/>
    <b v="1"/>
    <b v="1"/>
    <b v="0"/>
    <b v="0"/>
    <n v="0"/>
    <n v="0"/>
    <m/>
    <d v="2018-01-22T00:00:00"/>
    <n v="32127162"/>
    <d v="2016-08-29T00:00:00"/>
    <m/>
    <m/>
    <s v=""/>
    <b v="0"/>
    <m/>
    <m/>
    <d v="2016-08-29T00:00:00"/>
    <m/>
    <n v="791522"/>
    <b v="1"/>
    <m/>
    <m/>
    <m/>
    <x v="0"/>
    <b v="1"/>
    <n v="34087274"/>
    <s v="Amy"/>
    <s v="Lung"/>
    <s v="Meridian Health Plan"/>
    <s v=""/>
    <s v="Quality Director (Corporate)"/>
    <s v="Amy.Lung@mhplan.com"/>
    <s v="312-293-3031"/>
    <s v=""/>
    <s v=""/>
    <s v=""/>
    <s v=""/>
    <s v=""/>
    <s v=""/>
    <s v=""/>
    <s v="Quality Director (Corporate)"/>
    <s v=""/>
    <s v=""/>
    <s v=""/>
    <s v=""/>
    <s v=""/>
    <s v=""/>
    <s v=""/>
    <s v="335745Quality Directors, 371616Newsletter Recipient, 372293Quality Committee"/>
    <m/>
    <x v="0"/>
  </r>
  <r>
    <n v="36548853"/>
    <b v="0"/>
    <b v="0"/>
    <b v="0"/>
    <b v="1"/>
    <b v="0"/>
    <b v="1"/>
    <b v="1"/>
    <b v="0"/>
    <b v="0"/>
    <n v="0"/>
    <n v="0"/>
    <m/>
    <d v="2018-05-29T00:00:00"/>
    <n v="32127162"/>
    <d v="2016-12-14T00:00:00"/>
    <m/>
    <m/>
    <s v=""/>
    <b v="0"/>
    <m/>
    <m/>
    <d v="2016-12-14T00:00:00"/>
    <m/>
    <n v="791522"/>
    <b v="1"/>
    <m/>
    <m/>
    <m/>
    <x v="0"/>
    <b v="1"/>
    <n v="36548853"/>
    <s v="Katie"/>
    <s v="Lustig"/>
    <s v="WellCare Health Plans, Inc."/>
    <s v=""/>
    <s v="Regulatory Affairs Manager"/>
    <s v="katherine.lustig@wellcare.com"/>
    <s v="(312) 516-5859"/>
    <s v=""/>
    <s v=""/>
    <s v=""/>
    <s v=""/>
    <s v=""/>
    <s v=""/>
    <s v=""/>
    <s v=""/>
    <s v=""/>
    <s v=""/>
    <s v=""/>
    <s v=""/>
    <s v=""/>
    <s v=""/>
    <s v=""/>
    <s v="335736Provider Relations - Committee Members, 371616Newsletter Recipient, 372293Quality Committee, 372294Finance Committee, 372295Board of Directors/General Distribution List, 372296Legislative Committee, 372297Operations Committee, 372298Operations Transportation Subcommittee, 372306Marketing Committee, 372312IHA-IAMHP Working Group, 428788Pharmacy Director Committee, 447857HFS Ops Workgroup"/>
    <m/>
    <x v="0"/>
  </r>
  <r>
    <n v="45068948"/>
    <b v="0"/>
    <b v="0"/>
    <b v="0"/>
    <b v="1"/>
    <b v="0"/>
    <b v="1"/>
    <b v="1"/>
    <b v="0"/>
    <b v="0"/>
    <n v="0"/>
    <n v="0"/>
    <m/>
    <d v="2018-06-29T00:00:00"/>
    <n v="32127162"/>
    <d v="2018-05-07T00:00:00"/>
    <m/>
    <m/>
    <s v=""/>
    <b v="0"/>
    <m/>
    <m/>
    <d v="2018-05-07T00:00:00"/>
    <m/>
    <n v="791522"/>
    <b v="1"/>
    <m/>
    <d v="2018-05-07T00:00:00"/>
    <m/>
    <x v="0"/>
    <b v="1"/>
    <n v="45068948"/>
    <s v="Esther"/>
    <s v="Macchione"/>
    <s v="CountyCare Health Plan"/>
    <s v=""/>
    <s v=""/>
    <s v="esther.macchione@cookcountyhhs.org"/>
    <s v=""/>
    <s v=""/>
    <s v=""/>
    <s v=""/>
    <s v=""/>
    <s v=""/>
    <s v=""/>
    <s v="CountyCare Health Plan"/>
    <s v=""/>
    <s v=""/>
    <s v=""/>
    <s v=""/>
    <s v=""/>
    <s v=""/>
    <s v=""/>
    <s v=""/>
    <s v="335743Chief Operating Officer, 371616Newsletter Recipient, 372296Legislative Committee, 372297Operations Committee, 372312IHA-IAMHP Working Group, 420911IAMHP Leadership, 447857HFS Ops Workgroup"/>
    <m/>
    <x v="0"/>
  </r>
  <r>
    <n v="37822588"/>
    <b v="0"/>
    <b v="0"/>
    <b v="0"/>
    <b v="1"/>
    <b v="0"/>
    <b v="1"/>
    <b v="1"/>
    <b v="0"/>
    <b v="0"/>
    <n v="0"/>
    <n v="0"/>
    <m/>
    <d v="2017-02-24T00:00:00"/>
    <n v="32127162"/>
    <d v="2017-02-24T00:00:00"/>
    <m/>
    <m/>
    <s v=""/>
    <b v="0"/>
    <m/>
    <m/>
    <d v="2017-02-24T00:00:00"/>
    <m/>
    <n v="791522"/>
    <b v="1"/>
    <m/>
    <m/>
    <m/>
    <x v="0"/>
    <b v="1"/>
    <n v="37822588"/>
    <s v="Alaina"/>
    <s v="Macia"/>
    <s v="MTM"/>
    <s v=""/>
    <s v=""/>
    <s v="amacia@mtm-inc.net"/>
    <s v=""/>
    <s v=""/>
    <s v=""/>
    <s v=""/>
    <s v=""/>
    <s v=""/>
    <s v=""/>
    <s v=""/>
    <s v=""/>
    <s v=""/>
    <s v=""/>
    <s v=""/>
    <s v=""/>
    <s v=""/>
    <s v=""/>
    <s v=""/>
    <s v="371616Newsletter Recipient"/>
    <m/>
    <x v="0"/>
  </r>
  <r>
    <n v="43420953"/>
    <b v="0"/>
    <b v="0"/>
    <b v="0"/>
    <b v="1"/>
    <b v="0"/>
    <b v="1"/>
    <b v="1"/>
    <b v="0"/>
    <b v="0"/>
    <n v="0"/>
    <n v="0"/>
    <m/>
    <d v="2018-01-28T00:00:00"/>
    <n v="32127162"/>
    <d v="2018-01-22T00:00:00"/>
    <m/>
    <m/>
    <s v=""/>
    <b v="0"/>
    <m/>
    <m/>
    <d v="2018-01-22T00:00:00"/>
    <m/>
    <n v="791522"/>
    <b v="1"/>
    <m/>
    <d v="2018-01-22T00:00:00"/>
    <m/>
    <x v="0"/>
    <b v="1"/>
    <n v="43420953"/>
    <s v="Sheon"/>
    <s v="MacNeill"/>
    <s v="NextLevel Health"/>
    <s v=""/>
    <s v=""/>
    <s v="sheon.macneill@nlhpartners.com"/>
    <s v=""/>
    <s v=""/>
    <s v=""/>
    <s v=""/>
    <s v=""/>
    <s v=""/>
    <s v=""/>
    <s v=""/>
    <s v=""/>
    <s v=""/>
    <s v=""/>
    <s v=""/>
    <s v=""/>
    <s v=""/>
    <s v=""/>
    <s v=""/>
    <s v="371616Newsletter Recipient, 372293Quality Committee"/>
    <m/>
    <x v="0"/>
  </r>
  <r>
    <n v="36549216"/>
    <b v="0"/>
    <b v="0"/>
    <b v="0"/>
    <b v="1"/>
    <b v="0"/>
    <b v="1"/>
    <b v="1"/>
    <b v="0"/>
    <b v="0"/>
    <n v="0"/>
    <n v="0"/>
    <m/>
    <d v="2018-03-26T00:00:00"/>
    <n v="32127162"/>
    <d v="2016-12-14T00:00:00"/>
    <m/>
    <m/>
    <s v=""/>
    <b v="0"/>
    <m/>
    <m/>
    <d v="2016-12-14T00:00:00"/>
    <m/>
    <n v="791522"/>
    <b v="1"/>
    <m/>
    <m/>
    <m/>
    <x v="0"/>
    <b v="1"/>
    <n v="36549216"/>
    <s v="Erin"/>
    <s v="Maday Smith"/>
    <s v="Humana"/>
    <s v=""/>
    <s v=""/>
    <s v="esmith35@humana.com"/>
    <s v="(216) 990-0320"/>
    <s v=""/>
    <s v=""/>
    <s v=""/>
    <s v=""/>
    <s v=""/>
    <s v=""/>
    <s v=""/>
    <s v="Redetermination Point Person"/>
    <s v=""/>
    <s v=""/>
    <s v=""/>
    <s v=""/>
    <s v=""/>
    <s v=""/>
    <s v=""/>
    <s v="335736Provider Relations - Committee Members, 364404Redetermination Point Person, 371616Newsletter Recipient, 420932FQHC - Contracts, 420933FQHC - Claims &amp; Billing, 420934FQHC - Care Coordination, 420935Home Health - Contracts, 420936Home Health - Claims &amp; Billing, 420937Home Health - Care Coordination, 420938Hospice - Contracts, 420939Hospice - Claims &amp; Billing, 420940Hospice - Care Coordination, 420941Hospitals - Contracts, 420942Hospitals - Claims &amp; Billing, 420943Hospitals - Care Coordination, 420950Physicians - Contracts, 420951Physicians - Claims &amp; Billing, 420952Physicians - Care Coordination, 420953Public Health Department - Contracts, 420954Public Health Department - Claims &amp; Billing, 420955Public Health Department - Care Coordination, 420967Transportation - Contracts, 420968Transportation - Claims &amp; Billing, 420969Transportation - Care Coordination"/>
    <s v="10633525Contracts, 10633526Claims/Billing, 10633527Care Coordination"/>
    <x v="0"/>
  </r>
  <r>
    <n v="37779244"/>
    <b v="0"/>
    <b v="0"/>
    <b v="0"/>
    <b v="1"/>
    <b v="0"/>
    <b v="1"/>
    <b v="1"/>
    <b v="0"/>
    <b v="0"/>
    <n v="0"/>
    <n v="0"/>
    <m/>
    <d v="2017-02-21T00:00:00"/>
    <n v="32127162"/>
    <d v="2017-02-21T00:00:00"/>
    <m/>
    <m/>
    <s v=""/>
    <b v="0"/>
    <m/>
    <m/>
    <d v="2017-02-20T00:00:00"/>
    <m/>
    <n v="791522"/>
    <b v="1"/>
    <m/>
    <m/>
    <m/>
    <x v="0"/>
    <b v="1"/>
    <n v="37779244"/>
    <s v="Michael"/>
    <s v="Madigan"/>
    <s v="Illinois General Assembly"/>
    <s v=""/>
    <s v="Representative Michael J. Madigan (D)_x000a_22nd District_x000a_Speaker of the House_x0009__x000a__x000a_Springfield Office:_x000a_300 Capitol Building_x000a_Springfield, IL   62706_x000a_(217) 782-5350_x000a_(217) 524-1794 FAX_x000a__x000a_District Office:_x000a_6500 South Pulaski Road_x000a_Chicago, IL  60629_x000a_(773) 581-8000_x000a_(773) 581-9414 FAX"/>
    <s v=""/>
    <s v=""/>
    <s v=""/>
    <s v=""/>
    <s v=""/>
    <s v=""/>
    <s v=""/>
    <s v=""/>
    <s v=""/>
    <s v=""/>
    <s v=""/>
    <s v=""/>
    <s v=""/>
    <s v=""/>
    <s v=""/>
    <s v=""/>
    <s v=""/>
    <s v="371616Newsletter Recipient, 371627House of Representatives"/>
    <m/>
    <x v="0"/>
  </r>
  <r>
    <n v="37779249"/>
    <b v="0"/>
    <b v="0"/>
    <b v="0"/>
    <b v="1"/>
    <b v="0"/>
    <b v="1"/>
    <b v="1"/>
    <b v="0"/>
    <b v="0"/>
    <n v="0"/>
    <n v="0"/>
    <m/>
    <d v="2017-02-24T00:00:00"/>
    <n v="32127162"/>
    <d v="2017-02-21T00:00:00"/>
    <m/>
    <m/>
    <s v=""/>
    <b v="0"/>
    <m/>
    <m/>
    <d v="2017-02-20T00:00:00"/>
    <m/>
    <n v="791522"/>
    <b v="1"/>
    <m/>
    <m/>
    <m/>
    <x v="0"/>
    <b v="1"/>
    <n v="37779249"/>
    <s v="Theresa"/>
    <s v="Mah"/>
    <s v="Illinois General Assembly"/>
    <s v=""/>
    <s v="Representative Theresa Mah (D)_x000a_2nd District_x0009__x000a__x000a_Springfield Office:_x000a_244-W Stratton Office Building_x000a_Springfield, IL   62706_x000a_(217) 782-2855_x000a__x000a_District Office:_x000a_3520 S. Archer_x000a_Suite 1-C_x000a_Chicago, IL  60609_x000a_(872) 281-5775"/>
    <s v="rep.theresamah@gmail.com"/>
    <s v=""/>
    <s v=""/>
    <s v=""/>
    <s v=""/>
    <s v=""/>
    <s v=""/>
    <s v=""/>
    <s v=""/>
    <s v=""/>
    <s v=""/>
    <s v=""/>
    <s v=""/>
    <s v=""/>
    <s v=""/>
    <s v=""/>
    <s v=""/>
    <s v="371616Newsletter Recipient, 371627House of Representatives"/>
    <m/>
    <x v="0"/>
  </r>
  <r>
    <n v="37822733"/>
    <b v="0"/>
    <b v="0"/>
    <b v="0"/>
    <b v="1"/>
    <b v="0"/>
    <b v="1"/>
    <b v="1"/>
    <b v="0"/>
    <b v="0"/>
    <n v="0"/>
    <n v="0"/>
    <m/>
    <d v="2017-02-24T00:00:00"/>
    <n v="32127162"/>
    <d v="2017-02-24T00:00:00"/>
    <m/>
    <m/>
    <s v=""/>
    <b v="0"/>
    <m/>
    <m/>
    <d v="2017-02-24T00:00:00"/>
    <m/>
    <n v="791522"/>
    <b v="1"/>
    <m/>
    <m/>
    <m/>
    <x v="0"/>
    <b v="1"/>
    <n v="37822733"/>
    <s v="Michelle"/>
    <s v="Maher"/>
    <s v="HFS"/>
    <s v=""/>
    <s v=""/>
    <s v="Michelle.Maher@illinois.gov"/>
    <s v=""/>
    <s v=""/>
    <s v=""/>
    <s v=""/>
    <s v=""/>
    <s v=""/>
    <s v=""/>
    <s v=""/>
    <s v=""/>
    <s v=""/>
    <s v=""/>
    <s v=""/>
    <s v=""/>
    <s v=""/>
    <s v=""/>
    <s v=""/>
    <s v="371616Newsletter Recipient"/>
    <m/>
    <x v="0"/>
  </r>
  <r>
    <n v="37819815"/>
    <b v="0"/>
    <b v="0"/>
    <b v="0"/>
    <b v="1"/>
    <b v="0"/>
    <b v="1"/>
    <b v="1"/>
    <b v="0"/>
    <b v="0"/>
    <n v="0"/>
    <n v="0"/>
    <m/>
    <d v="2017-02-24T00:00:00"/>
    <n v="32127162"/>
    <d v="2017-02-24T00:00:00"/>
    <m/>
    <m/>
    <s v=""/>
    <b v="0"/>
    <m/>
    <m/>
    <d v="2017-02-24T00:00:00"/>
    <m/>
    <n v="791522"/>
    <b v="1"/>
    <m/>
    <m/>
    <m/>
    <x v="0"/>
    <b v="1"/>
    <n v="37819815"/>
    <s v="Ed"/>
    <s v="Mailander"/>
    <s v="Wakely Consulting Group"/>
    <s v=""/>
    <s v=""/>
    <s v="ed.mailander@wakely.com"/>
    <s v=""/>
    <s v=""/>
    <s v=""/>
    <s v=""/>
    <s v=""/>
    <s v=""/>
    <s v=""/>
    <s v=""/>
    <s v=""/>
    <s v=""/>
    <s v=""/>
    <s v=""/>
    <s v=""/>
    <s v=""/>
    <s v=""/>
    <s v=""/>
    <s v="371616Newsletter Recipient, 372294Finance Committee"/>
    <m/>
    <x v="0"/>
  </r>
  <r>
    <n v="44249426"/>
    <b v="0"/>
    <b v="0"/>
    <b v="0"/>
    <b v="1"/>
    <b v="0"/>
    <b v="1"/>
    <b v="1"/>
    <b v="0"/>
    <b v="0"/>
    <n v="0"/>
    <n v="0"/>
    <m/>
    <d v="2018-03-16T00:00:00"/>
    <n v="32127162"/>
    <d v="2018-03-16T00:00:00"/>
    <m/>
    <m/>
    <s v=""/>
    <b v="0"/>
    <m/>
    <m/>
    <d v="2018-03-16T00:00:00"/>
    <m/>
    <n v="791522"/>
    <b v="1"/>
    <m/>
    <d v="2018-03-16T00:00:00"/>
    <m/>
    <x v="0"/>
    <b v="1"/>
    <n v="44249426"/>
    <s v="Bhavik"/>
    <s v="Majmudar"/>
    <s v="IlliniCare Health"/>
    <s v=""/>
    <s v=""/>
    <s v="bhavik.majmudar@illinicare.com"/>
    <s v=""/>
    <s v=""/>
    <s v=""/>
    <s v=""/>
    <s v=""/>
    <s v=""/>
    <s v=""/>
    <s v=""/>
    <s v=""/>
    <s v=""/>
    <s v=""/>
    <s v=""/>
    <s v=""/>
    <s v=""/>
    <s v=""/>
    <s v=""/>
    <s v="371616Newsletter Recipient, 372294Finance Committee"/>
    <m/>
    <x v="0"/>
  </r>
  <r>
    <n v="37822596"/>
    <b v="0"/>
    <b v="0"/>
    <b v="0"/>
    <b v="1"/>
    <b v="0"/>
    <b v="1"/>
    <b v="1"/>
    <b v="0"/>
    <b v="0"/>
    <n v="0"/>
    <n v="0"/>
    <m/>
    <d v="2017-02-24T00:00:00"/>
    <n v="32127162"/>
    <d v="2017-02-24T00:00:00"/>
    <m/>
    <m/>
    <s v=""/>
    <b v="0"/>
    <m/>
    <m/>
    <d v="2017-02-24T00:00:00"/>
    <m/>
    <n v="791522"/>
    <b v="1"/>
    <m/>
    <m/>
    <m/>
    <x v="0"/>
    <b v="1"/>
    <n v="37822596"/>
    <s v="Karen"/>
    <s v="Malamut"/>
    <s v="Merck"/>
    <s v="Dr."/>
    <s v=""/>
    <s v="karen_malamut@merck.com"/>
    <s v=""/>
    <s v=""/>
    <s v=""/>
    <s v=""/>
    <s v=""/>
    <s v=""/>
    <s v=""/>
    <s v=""/>
    <s v=""/>
    <s v=""/>
    <s v=""/>
    <s v=""/>
    <s v=""/>
    <s v=""/>
    <s v=""/>
    <s v=""/>
    <s v="371616Newsletter Recipient"/>
    <m/>
    <x v="0"/>
  </r>
  <r>
    <n v="34514361"/>
    <b v="0"/>
    <b v="0"/>
    <b v="0"/>
    <b v="1"/>
    <b v="0"/>
    <b v="1"/>
    <b v="1"/>
    <b v="0"/>
    <b v="0"/>
    <n v="0"/>
    <n v="0"/>
    <m/>
    <d v="2018-03-26T00:00:00"/>
    <n v="32127162"/>
    <d v="2016-09-16T00:00:00"/>
    <m/>
    <m/>
    <s v=""/>
    <b v="0"/>
    <m/>
    <m/>
    <d v="2016-09-15T00:00:00"/>
    <m/>
    <n v="791522"/>
    <b v="1"/>
    <m/>
    <m/>
    <m/>
    <x v="0"/>
    <b v="1"/>
    <n v="34514361"/>
    <s v="Mark"/>
    <s v="Malone"/>
    <s v="Humana"/>
    <s v=""/>
    <s v=""/>
    <s v="MMalone1@humana.com"/>
    <s v="502-476-1151"/>
    <s v=""/>
    <s v=""/>
    <s v=""/>
    <s v=""/>
    <s v=""/>
    <s v=""/>
    <s v=""/>
    <s v=""/>
    <s v=""/>
    <s v=""/>
    <s v=""/>
    <s v=""/>
    <s v=""/>
    <s v=""/>
    <s v=""/>
    <s v="371616Newsletter Recipient, 372314Pharmacy Director, 420970Pharmacy/Pharmaceuticals - Contracts, 420971Pharmacy/Pharmaceuticals - Claims &amp; Billing, 420972Pharmacy/Pharmaceuticals - Care Coordination, 428788Pharmacy Director Committee"/>
    <s v="10633525Contracts, 10633526Claims/Billing, 10633527Care Coordination"/>
    <x v="0"/>
  </r>
  <r>
    <n v="43744026"/>
    <b v="0"/>
    <b v="0"/>
    <b v="0"/>
    <b v="1"/>
    <b v="0"/>
    <b v="1"/>
    <b v="1"/>
    <b v="0"/>
    <b v="0"/>
    <n v="0"/>
    <n v="0"/>
    <m/>
    <d v="2018-02-13T00:00:00"/>
    <n v="32127162"/>
    <d v="2018-02-13T00:00:00"/>
    <m/>
    <m/>
    <s v=""/>
    <b v="0"/>
    <m/>
    <m/>
    <d v="2018-02-13T00:00:00"/>
    <m/>
    <n v="791522"/>
    <b v="1"/>
    <m/>
    <d v="2018-02-13T00:00:00"/>
    <m/>
    <x v="0"/>
    <b v="1"/>
    <n v="43744026"/>
    <s v="Marcos A"/>
    <s v="Maltez"/>
    <s v="Premier Home Health Care Services, Inc"/>
    <s v=""/>
    <s v=""/>
    <s v="mmaltez@phhc.com"/>
    <s v=""/>
    <s v=""/>
    <s v=""/>
    <s v=""/>
    <s v=""/>
    <s v=""/>
    <s v=""/>
    <s v=""/>
    <s v=""/>
    <s v=""/>
    <s v=""/>
    <s v=""/>
    <s v=""/>
    <s v=""/>
    <s v=""/>
    <s v=""/>
    <s v="371616Newsletter Recipient"/>
    <m/>
    <x v="0"/>
  </r>
  <r>
    <n v="40774049"/>
    <b v="0"/>
    <b v="0"/>
    <b v="0"/>
    <b v="1"/>
    <b v="0"/>
    <b v="1"/>
    <b v="1"/>
    <b v="0"/>
    <b v="0"/>
    <n v="0"/>
    <n v="0"/>
    <m/>
    <d v="2018-03-26T00:00:00"/>
    <n v="32127162"/>
    <d v="2017-07-25T00:00:00"/>
    <m/>
    <m/>
    <s v=""/>
    <b v="0"/>
    <m/>
    <m/>
    <d v="2017-07-25T00:00:00"/>
    <m/>
    <n v="791522"/>
    <b v="1"/>
    <m/>
    <m/>
    <m/>
    <x v="0"/>
    <b v="1"/>
    <n v="40774049"/>
    <s v="Michael"/>
    <s v="Manade"/>
    <s v="Molina Healthcare of Illinois, Inc."/>
    <s v=""/>
    <s v=""/>
    <s v="Michael.manade@molinahealthcare.com"/>
    <s v="630-200-8504"/>
    <s v=""/>
    <s v=""/>
    <s v=""/>
    <s v=""/>
    <s v="630-203-3900 x 162201"/>
    <s v="844 488-7054"/>
    <s v=""/>
    <s v="Director, Provider Contracting"/>
    <s v=""/>
    <s v=""/>
    <s v=""/>
    <s v=""/>
    <s v=""/>
    <s v=""/>
    <s v=""/>
    <s v="335736Provider Relations - Committee Members, 371616Newsletter Recipient, 420932FQHC - Contracts, 420933FQHC - Claims &amp; Billing, 420934FQHC - Care Coordination, 420941Hospitals - Contracts, 420942Hospitals - Claims &amp; Billing, 420943Hospitals - Care Coordination, 420953Public Health Department - Contracts, 420954Public Health Department - Claims &amp; Billing, 420955Public Health Department - Care Coordination"/>
    <s v="10633525Contracts, 10633526Claims/Billing, 10633527Care Coordination"/>
    <x v="0"/>
  </r>
  <r>
    <n v="41992305"/>
    <b v="0"/>
    <b v="0"/>
    <b v="0"/>
    <b v="1"/>
    <b v="0"/>
    <b v="1"/>
    <b v="1"/>
    <b v="0"/>
    <b v="0"/>
    <n v="0"/>
    <n v="0"/>
    <m/>
    <d v="2018-01-29T00:00:00"/>
    <n v="32127162"/>
    <d v="2017-10-17T00:00:00"/>
    <m/>
    <m/>
    <s v=""/>
    <b v="0"/>
    <m/>
    <m/>
    <d v="2017-10-17T00:00:00"/>
    <m/>
    <n v="791522"/>
    <b v="1"/>
    <m/>
    <d v="2017-10-17T00:00:00"/>
    <m/>
    <x v="0"/>
    <b v="1"/>
    <n v="41992305"/>
    <s v="Case"/>
    <s v="Management"/>
    <s v="Molina Healthcare of Illinois, Inc."/>
    <s v=""/>
    <s v=""/>
    <s v=""/>
    <s v="855-866-5462"/>
    <s v=""/>
    <s v=""/>
    <s v=""/>
    <s v=""/>
    <s v=""/>
    <s v=""/>
    <s v=""/>
    <s v=""/>
    <s v=""/>
    <s v=""/>
    <s v=""/>
    <s v=""/>
    <s v=""/>
    <s v=""/>
    <s v=""/>
    <m/>
    <m/>
    <x v="0"/>
  </r>
  <r>
    <n v="37770613"/>
    <b v="0"/>
    <b v="0"/>
    <b v="0"/>
    <b v="1"/>
    <b v="0"/>
    <b v="1"/>
    <b v="1"/>
    <b v="0"/>
    <b v="0"/>
    <n v="0"/>
    <n v="0"/>
    <m/>
    <d v="2017-02-24T00:00:00"/>
    <n v="32127162"/>
    <d v="2017-02-20T00:00:00"/>
    <m/>
    <m/>
    <s v=""/>
    <b v="0"/>
    <m/>
    <m/>
    <d v="2017-02-20T00:00:00"/>
    <m/>
    <n v="791522"/>
    <b v="1"/>
    <m/>
    <m/>
    <m/>
    <x v="0"/>
    <b v="1"/>
    <n v="37770613"/>
    <s v="Andy"/>
    <s v="Manar"/>
    <s v="Illinois General Assembly"/>
    <s v="Senator"/>
    <s v="Senator Andy Manar (D)_x000a_48th District_x0009__x000a__x000a_Springfield Office:_x000a_Senator 48th District_x000a_119A Capitol Building_x000a_Springfield, IL   62706_x000a_(217) 782-0228_x000a_(217) 557-3930 FAX_x000a_ _x000a_District Office:_x000a_115 N. Washington Street_x000a_P.O. Box 636_x000a_Bunker Hill, IL  62014_x000a_(618) 585-4848_x000a__x000a_141 South Main St._x000a_Macon County Building_x000a_Decatur, IL 62561_x000a_(217) 429-8110_x000a_(217) 429-8018 FAX"/>
    <s v="awmanar@yahoo.com"/>
    <s v=""/>
    <s v=""/>
    <s v=""/>
    <s v=""/>
    <s v=""/>
    <s v="(217) 782-0228"/>
    <s v=""/>
    <s v=""/>
    <s v=""/>
    <s v=""/>
    <s v=""/>
    <s v=""/>
    <s v=""/>
    <s v=""/>
    <s v=""/>
    <s v=""/>
    <s v="371609Senator, 371616Newsletter Recipient, 372319IGA Senate Staff"/>
    <m/>
    <x v="0"/>
  </r>
  <r>
    <n v="37779254"/>
    <b v="0"/>
    <b v="0"/>
    <b v="0"/>
    <b v="1"/>
    <b v="0"/>
    <b v="1"/>
    <b v="1"/>
    <b v="0"/>
    <b v="0"/>
    <n v="0"/>
    <n v="0"/>
    <m/>
    <d v="2017-02-24T00:00:00"/>
    <n v="32127162"/>
    <d v="2017-02-21T00:00:00"/>
    <m/>
    <m/>
    <s v=""/>
    <b v="0"/>
    <m/>
    <m/>
    <d v="2017-02-20T00:00:00"/>
    <m/>
    <n v="791522"/>
    <b v="1"/>
    <m/>
    <m/>
    <m/>
    <x v="0"/>
    <b v="1"/>
    <n v="37779254"/>
    <s v="Natalie"/>
    <s v="Manley"/>
    <s v="Illinois General Assembly"/>
    <s v=""/>
    <s v="Representative Natalie A. Manley (D)_x000a_98th District_x0009_ _x0009__x000a__x000a_Springfield Office:_x000a_231-E Stratton Office Building_x000a_Springfield, IL   62706_x000a_(217) 782-3316_x000a__x000a_District Office:_x000a_2701 Black Rd._x000a_Suite 298_x000a_Joliet, IL  60435_x000a_(815) 725-2741_x000a_(815) 725-5269 FAX"/>
    <s v="repmanley@gmail.com"/>
    <s v=""/>
    <s v=""/>
    <s v=""/>
    <s v=""/>
    <s v=""/>
    <s v=""/>
    <s v=""/>
    <s v=""/>
    <s v=""/>
    <s v=""/>
    <s v=""/>
    <s v=""/>
    <s v=""/>
    <s v=""/>
    <s v=""/>
    <s v=""/>
    <s v="371616Newsletter Recipient, 371627House of Representatives"/>
    <m/>
    <x v="0"/>
  </r>
  <r>
    <n v="44026548"/>
    <b v="0"/>
    <b v="0"/>
    <b v="0"/>
    <b v="1"/>
    <b v="0"/>
    <b v="1"/>
    <b v="1"/>
    <b v="0"/>
    <b v="0"/>
    <n v="0"/>
    <n v="0"/>
    <m/>
    <d v="2018-03-26T00:00:00"/>
    <n v="32127162"/>
    <d v="2018-03-02T00:00:00"/>
    <m/>
    <m/>
    <s v=""/>
    <b v="0"/>
    <m/>
    <m/>
    <d v="2018-03-02T00:00:00"/>
    <m/>
    <n v="791522"/>
    <b v="1"/>
    <m/>
    <d v="2018-03-02T00:00:00"/>
    <m/>
    <x v="0"/>
    <b v="1"/>
    <n v="44026548"/>
    <s v=""/>
    <s v=""/>
    <s v="March Vision (Aetna)"/>
    <s v=""/>
    <s v=""/>
    <s v="providers@marchvisioncare.com"/>
    <s v="(844) 456-2724"/>
    <s v=""/>
    <s v=""/>
    <s v=""/>
    <s v=""/>
    <s v=""/>
    <s v=""/>
    <s v=""/>
    <s v=""/>
    <s v=""/>
    <s v=""/>
    <s v=""/>
    <s v=""/>
    <s v=""/>
    <s v=""/>
    <s v=""/>
    <s v="420963Vision - Contracts, 420964Vision - Claims &amp; Billing, 420965Vision - Care Coordination"/>
    <s v="10633525Contracts, 10633526Claims/Billing, 10633527Care Coordination"/>
    <x v="0"/>
  </r>
  <r>
    <n v="34033717"/>
    <b v="0"/>
    <b v="0"/>
    <b v="0"/>
    <b v="1"/>
    <b v="0"/>
    <b v="1"/>
    <b v="1"/>
    <b v="0"/>
    <b v="0"/>
    <n v="0"/>
    <n v="0"/>
    <m/>
    <d v="2017-12-06T00:00:00"/>
    <n v="32127162"/>
    <d v="2016-08-23T00:00:00"/>
    <m/>
    <m/>
    <s v=""/>
    <b v="0"/>
    <m/>
    <m/>
    <d v="2016-08-23T00:00:00"/>
    <m/>
    <n v="791522"/>
    <b v="1"/>
    <m/>
    <m/>
    <m/>
    <x v="0"/>
    <b v="1"/>
    <n v="34033717"/>
    <s v="Michael"/>
    <s v="Marrah"/>
    <s v="IlliniCare Health"/>
    <s v=""/>
    <s v=""/>
    <s v="Michael.T.Marrah@illinicare.com"/>
    <s v="312-260-5453"/>
    <s v=""/>
    <s v=""/>
    <s v=""/>
    <s v=""/>
    <s v=""/>
    <s v=""/>
    <s v=""/>
    <s v=""/>
    <s v=""/>
    <s v=""/>
    <s v=""/>
    <s v=""/>
    <s v=""/>
    <s v=""/>
    <s v=""/>
    <s v="371616Newsletter Recipient"/>
    <m/>
    <x v="0"/>
  </r>
  <r>
    <n v="37770617"/>
    <b v="0"/>
    <b v="0"/>
    <b v="0"/>
    <b v="1"/>
    <b v="0"/>
    <b v="1"/>
    <b v="1"/>
    <b v="0"/>
    <b v="0"/>
    <n v="0"/>
    <n v="0"/>
    <m/>
    <d v="2017-02-24T00:00:00"/>
    <n v="32127162"/>
    <d v="2017-02-20T00:00:00"/>
    <m/>
    <m/>
    <s v=""/>
    <b v="0"/>
    <m/>
    <m/>
    <d v="2017-02-20T00:00:00"/>
    <m/>
    <n v="791522"/>
    <b v="1"/>
    <m/>
    <m/>
    <m/>
    <x v="0"/>
    <b v="1"/>
    <n v="37770617"/>
    <s v="Iris"/>
    <s v="Martinez"/>
    <s v="Illinois General Assembly"/>
    <s v="Senator"/>
    <s v="Senator Iris Y. Martinez (D)_x000a_20th District_x000a_Majority Caucus Whip_x0009_ _x0009__x000a__x000a_Springfield Office:_x000a_Senator 20th District_x000a_413 Capitol Building_x000a_Springfield, IL   62706_x000a_(217) 782-8191_x000a_(217) 782-3088 FAX_x000a_ _x000a_District Office:_x000a_2921 N. Milwaukee Ave._x000a_Chicago, IL  60618_x000a_(773) 278-2020_x000a_(773) 278-6407 FAX"/>
    <s v="ilsenate20@sbcglobal.net"/>
    <s v=""/>
    <s v="Y."/>
    <s v=""/>
    <s v="rorama@senatedem.ilga.gov"/>
    <s v=""/>
    <s v="(217) 782-8191"/>
    <s v=""/>
    <s v=""/>
    <s v=""/>
    <s v=""/>
    <s v=""/>
    <s v=""/>
    <s v=""/>
    <s v=""/>
    <s v=""/>
    <s v=""/>
    <s v="371609Senator, 371616Newsletter Recipient"/>
    <m/>
    <x v="0"/>
  </r>
  <r>
    <n v="37819819"/>
    <b v="0"/>
    <b v="0"/>
    <b v="0"/>
    <b v="1"/>
    <b v="0"/>
    <b v="1"/>
    <b v="1"/>
    <b v="0"/>
    <b v="0"/>
    <n v="0"/>
    <n v="0"/>
    <m/>
    <d v="2018-01-12T00:00:00"/>
    <n v="32127162"/>
    <d v="2017-02-24T00:00:00"/>
    <m/>
    <m/>
    <s v=""/>
    <b v="0"/>
    <m/>
    <m/>
    <d v="2017-02-24T00:00:00"/>
    <m/>
    <n v="791522"/>
    <b v="1"/>
    <m/>
    <m/>
    <m/>
    <x v="0"/>
    <b v="1"/>
    <n v="37819819"/>
    <s v="Sandra"/>
    <s v="Martinez"/>
    <s v="Family Health Network"/>
    <s v=""/>
    <s v=""/>
    <s v=""/>
    <s v=""/>
    <s v=""/>
    <s v=""/>
    <s v=""/>
    <s v=""/>
    <s v=""/>
    <s v=""/>
    <s v=""/>
    <s v=""/>
    <s v=""/>
    <s v=""/>
    <s v=""/>
    <s v=""/>
    <s v=""/>
    <s v=""/>
    <s v=""/>
    <m/>
    <m/>
    <x v="0"/>
  </r>
  <r>
    <n v="37779257"/>
    <b v="0"/>
    <b v="0"/>
    <b v="0"/>
    <b v="1"/>
    <b v="0"/>
    <b v="1"/>
    <b v="1"/>
    <b v="0"/>
    <b v="0"/>
    <n v="0"/>
    <n v="0"/>
    <m/>
    <d v="2017-02-24T00:00:00"/>
    <n v="32127162"/>
    <d v="2017-02-21T00:00:00"/>
    <m/>
    <m/>
    <s v=""/>
    <b v="0"/>
    <m/>
    <m/>
    <d v="2017-02-20T00:00:00"/>
    <m/>
    <n v="791522"/>
    <b v="1"/>
    <m/>
    <m/>
    <m/>
    <x v="0"/>
    <b v="1"/>
    <n v="37779257"/>
    <s v="Robert"/>
    <s v="Martwick"/>
    <s v="Illinois General Assembly"/>
    <s v=""/>
    <s v="Representative Robert Martwick (D)_x000a_19th District _x0009__x000a__x000a_Springfield Office:_x000a_290-S Stratton Office Building_x000a_Springfield, IL   62706_x000a_(217) 782-8400_x000a_(217) 557-1934 FAX_x000a__x000a_District Office:_x000a_5940 N. Milwaukee Ave_x000a_Suite 101_x000a_Chicago, IL  60646_x000a_(773) 286-1115_x000a_(773) 545-7106 FAX"/>
    <s v="repmartwick@gmail.com"/>
    <s v=""/>
    <s v=""/>
    <s v=""/>
    <s v=""/>
    <s v=""/>
    <s v=""/>
    <s v=""/>
    <s v=""/>
    <s v=""/>
    <s v=""/>
    <s v=""/>
    <s v=""/>
    <s v=""/>
    <s v=""/>
    <s v=""/>
    <s v=""/>
    <s v="371616Newsletter Recipient, 371627House of Representatives"/>
    <m/>
    <x v="0"/>
  </r>
  <r>
    <n v="43420236"/>
    <b v="0"/>
    <b v="0"/>
    <b v="0"/>
    <b v="1"/>
    <b v="0"/>
    <b v="1"/>
    <b v="1"/>
    <b v="0"/>
    <b v="0"/>
    <n v="0"/>
    <n v="0"/>
    <m/>
    <d v="2018-03-26T00:00:00"/>
    <n v="32127162"/>
    <d v="2018-01-22T00:00:00"/>
    <m/>
    <m/>
    <s v=""/>
    <b v="0"/>
    <m/>
    <m/>
    <d v="2018-01-22T00:00:00"/>
    <m/>
    <n v="791522"/>
    <b v="1"/>
    <m/>
    <d v="2018-01-22T00:00:00"/>
    <m/>
    <x v="0"/>
    <b v="1"/>
    <n v="43420236"/>
    <s v="Huzefa"/>
    <s v="Master"/>
    <s v="NextLevel Health"/>
    <s v=""/>
    <s v="Pharmacy Director"/>
    <s v="huzefa.master@nlhpartners.com"/>
    <s v="(312) 300-5780 x1025"/>
    <s v=""/>
    <s v=""/>
    <s v=""/>
    <s v=""/>
    <s v=""/>
    <s v=""/>
    <s v=""/>
    <s v="Pharmacy Director"/>
    <s v=""/>
    <s v=""/>
    <s v=""/>
    <s v=""/>
    <s v=""/>
    <s v=""/>
    <s v=""/>
    <s v="371616Newsletter Recipient, 372314Pharmacy Director, 420970Pharmacy/Pharmaceuticals - Contracts, 420971Pharmacy/Pharmaceuticals - Claims &amp; Billing, 420972Pharmacy/Pharmaceuticals - Care Coordination, 428788Pharmacy Director Committee"/>
    <s v="10633525Contracts, 10633526Claims/Billing, 10633527Care Coordination"/>
    <x v="0"/>
  </r>
  <r>
    <n v="37819820"/>
    <b v="0"/>
    <b v="0"/>
    <b v="0"/>
    <b v="1"/>
    <b v="0"/>
    <b v="1"/>
    <b v="1"/>
    <b v="0"/>
    <b v="0"/>
    <n v="0"/>
    <n v="0"/>
    <m/>
    <d v="2018-01-12T00:00:00"/>
    <n v="32127162"/>
    <d v="2017-02-24T00:00:00"/>
    <m/>
    <m/>
    <s v=""/>
    <b v="0"/>
    <m/>
    <m/>
    <d v="2017-02-24T00:00:00"/>
    <m/>
    <n v="791522"/>
    <b v="1"/>
    <m/>
    <m/>
    <m/>
    <x v="0"/>
    <b v="1"/>
    <n v="37819820"/>
    <s v="Toby"/>
    <s v="Mathews"/>
    <s v="GIGNA"/>
    <s v=""/>
    <s v=""/>
    <s v="toby.mathews@healthspring.com"/>
    <s v=""/>
    <s v=""/>
    <s v=""/>
    <s v="toby.mathews@gulfquest.net"/>
    <s v=""/>
    <s v=""/>
    <s v=""/>
    <s v=""/>
    <s v=""/>
    <s v=""/>
    <s v=""/>
    <s v=""/>
    <s v=""/>
    <s v=""/>
    <s v=""/>
    <s v=""/>
    <m/>
    <m/>
    <x v="0"/>
  </r>
  <r>
    <n v="37822470"/>
    <b v="0"/>
    <b v="0"/>
    <b v="0"/>
    <b v="1"/>
    <b v="0"/>
    <b v="1"/>
    <b v="1"/>
    <b v="0"/>
    <b v="0"/>
    <n v="0"/>
    <n v="0"/>
    <m/>
    <d v="2017-02-24T00:00:00"/>
    <n v="32127162"/>
    <d v="2017-02-24T00:00:00"/>
    <m/>
    <m/>
    <s v=""/>
    <b v="0"/>
    <m/>
    <m/>
    <d v="2017-02-24T00:00:00"/>
    <m/>
    <n v="791522"/>
    <b v="1"/>
    <m/>
    <m/>
    <m/>
    <x v="0"/>
    <b v="1"/>
    <n v="37822470"/>
    <s v="Assistant for Senator Daniel Biss"/>
    <s v="Matthew"/>
    <s v=""/>
    <s v=""/>
    <s v=""/>
    <s v="matthew.senatorbiss@gmail.com"/>
    <s v=""/>
    <s v=""/>
    <s v=""/>
    <s v=""/>
    <s v=""/>
    <s v=""/>
    <s v=""/>
    <s v=""/>
    <s v=""/>
    <s v=""/>
    <s v=""/>
    <s v=""/>
    <s v=""/>
    <s v=""/>
    <s v=""/>
    <s v=""/>
    <s v="371616Newsletter Recipient, 372319IGA Senate Staff"/>
    <m/>
    <x v="0"/>
  </r>
  <r>
    <n v="37819821"/>
    <b v="0"/>
    <b v="0"/>
    <b v="0"/>
    <b v="1"/>
    <b v="0"/>
    <b v="1"/>
    <b v="1"/>
    <b v="0"/>
    <b v="0"/>
    <n v="0"/>
    <n v="0"/>
    <m/>
    <d v="2017-06-21T00:00:00"/>
    <n v="32127162"/>
    <d v="2017-02-24T00:00:00"/>
    <m/>
    <m/>
    <s v=""/>
    <b v="0"/>
    <m/>
    <m/>
    <d v="2017-02-24T00:00:00"/>
    <m/>
    <n v="791522"/>
    <b v="1"/>
    <m/>
    <m/>
    <m/>
    <x v="0"/>
    <b v="1"/>
    <n v="37819821"/>
    <s v="Martin"/>
    <s v="Matthews"/>
    <s v="Merck"/>
    <s v=""/>
    <s v=""/>
    <s v="martin.matthews@merck.com"/>
    <s v=""/>
    <s v=""/>
    <s v=""/>
    <s v=""/>
    <s v="630-740-5743"/>
    <s v=""/>
    <s v=""/>
    <s v=""/>
    <s v=""/>
    <s v=""/>
    <s v=""/>
    <s v=""/>
    <s v=""/>
    <s v=""/>
    <s v=""/>
    <s v=""/>
    <s v="371616Newsletter Recipient, 372311Business Member"/>
    <m/>
    <x v="0"/>
  </r>
  <r>
    <n v="38304187"/>
    <b v="0"/>
    <b v="0"/>
    <b v="0"/>
    <b v="1"/>
    <b v="0"/>
    <b v="1"/>
    <b v="1"/>
    <b v="0"/>
    <b v="0"/>
    <n v="0"/>
    <n v="0"/>
    <m/>
    <d v="2017-06-21T00:00:00"/>
    <n v="32127162"/>
    <d v="2017-03-29T00:00:00"/>
    <m/>
    <m/>
    <s v=""/>
    <b v="0"/>
    <m/>
    <m/>
    <d v="2017-03-29T00:00:00"/>
    <m/>
    <n v="791522"/>
    <b v="1"/>
    <m/>
    <m/>
    <m/>
    <x v="0"/>
    <b v="1"/>
    <n v="38304187"/>
    <s v="Sharron"/>
    <s v="Matthews"/>
    <s v=""/>
    <s v=""/>
    <s v=""/>
    <s v="sharronmatthews@aol.com"/>
    <s v=""/>
    <s v=""/>
    <s v=""/>
    <s v=""/>
    <s v=""/>
    <s v=""/>
    <s v=""/>
    <s v=""/>
    <s v=""/>
    <s v=""/>
    <s v=""/>
    <s v=""/>
    <s v=""/>
    <s v=""/>
    <s v=""/>
    <s v=""/>
    <s v="3767711115 Workgroup"/>
    <m/>
    <x v="0"/>
  </r>
  <r>
    <n v="43417671"/>
    <b v="0"/>
    <b v="0"/>
    <b v="0"/>
    <b v="1"/>
    <b v="0"/>
    <b v="1"/>
    <b v="1"/>
    <b v="0"/>
    <b v="0"/>
    <n v="0"/>
    <n v="0"/>
    <m/>
    <d v="2018-03-22T00:00:00"/>
    <n v="32127162"/>
    <d v="2018-01-22T00:00:00"/>
    <m/>
    <m/>
    <s v=""/>
    <b v="0"/>
    <m/>
    <m/>
    <d v="2018-01-22T00:00:00"/>
    <m/>
    <n v="791522"/>
    <b v="1"/>
    <m/>
    <d v="2018-01-22T00:00:00"/>
    <m/>
    <x v="0"/>
    <b v="1"/>
    <n v="43417671"/>
    <s v="Chris"/>
    <s v="Maxeiner"/>
    <s v="Meridian Health Plan"/>
    <s v=""/>
    <s v=""/>
    <s v="Christopher.Maxeiner@mhplan.com"/>
    <s v="312.705.6853"/>
    <s v=""/>
    <s v=""/>
    <s v=""/>
    <s v=""/>
    <s v=""/>
    <s v=""/>
    <s v=""/>
    <s v=""/>
    <s v=""/>
    <s v=""/>
    <s v=""/>
    <s v=""/>
    <s v=""/>
    <s v=""/>
    <s v=""/>
    <s v="335736Provider Relations - Committee Members, 371616Newsletter Recipient, 420929Durable Medical Equipment - Contracts, 420930Durable Medical Equipment - Claims &amp; Billing, 420935Home Health - Contracts, 420936Home Health - Claims &amp; Billing, 420938Hospice - Contracts, 420939Hospice - Claims &amp; Billing, 420987LTC - Contracts, 420988LTC - Claims &amp; Billing"/>
    <s v="10633525Contracts, 10633526Claims/Billing"/>
    <x v="0"/>
  </r>
  <r>
    <n v="40913622"/>
    <b v="0"/>
    <b v="0"/>
    <b v="0"/>
    <b v="1"/>
    <b v="0"/>
    <b v="1"/>
    <b v="1"/>
    <b v="0"/>
    <b v="0"/>
    <n v="0"/>
    <n v="0"/>
    <m/>
    <d v="2018-05-29T00:00:00"/>
    <n v="32127162"/>
    <d v="2017-08-07T00:00:00"/>
    <m/>
    <m/>
    <s v=""/>
    <b v="0"/>
    <m/>
    <m/>
    <d v="2017-08-07T00:00:00"/>
    <m/>
    <n v="791522"/>
    <b v="1"/>
    <m/>
    <m/>
    <m/>
    <x v="0"/>
    <b v="1"/>
    <n v="40913622"/>
    <s v="Tony"/>
    <s v="Mayberry"/>
    <s v="IlliniCare Health / Centene Corporation"/>
    <s v=""/>
    <s v=""/>
    <s v="amayberry@centene.com"/>
    <s v="573.756.4182"/>
    <s v=""/>
    <s v=""/>
    <s v=""/>
    <s v=""/>
    <s v="(573) 756-4182"/>
    <s v=""/>
    <s v=""/>
    <s v=""/>
    <s v=""/>
    <s v=""/>
    <s v=""/>
    <s v=""/>
    <s v=""/>
    <s v=""/>
    <s v=""/>
    <s v="335736Provider Relations - Committee Members, 371616Newsletter Recipient, 372297Operations Committee, 420974Children's Services - Claims &amp; Billing, 447857HFS Ops Workgroup"/>
    <s v="10633526Claims/Billing"/>
    <x v="0"/>
  </r>
  <r>
    <n v="37779261"/>
    <b v="0"/>
    <b v="0"/>
    <b v="0"/>
    <b v="1"/>
    <b v="0"/>
    <b v="1"/>
    <b v="1"/>
    <b v="0"/>
    <b v="0"/>
    <n v="0"/>
    <n v="0"/>
    <m/>
    <d v="2017-02-21T00:00:00"/>
    <n v="32127162"/>
    <d v="2017-02-21T00:00:00"/>
    <m/>
    <m/>
    <s v=""/>
    <b v="0"/>
    <m/>
    <m/>
    <d v="2017-02-20T00:00:00"/>
    <m/>
    <n v="791522"/>
    <b v="1"/>
    <m/>
    <m/>
    <m/>
    <x v="0"/>
    <b v="1"/>
    <n v="37779261"/>
    <s v="Emily"/>
    <s v="McAsey"/>
    <s v="Illinois General Assembly"/>
    <s v=""/>
    <s v="Representative Emily McAsey (D)_x000a_85th District _x0009__x000a__x000a_Springfield Office:_x000a_259-S Stratton Office Building_x000a_Springfield, IL   62706_x000a_(217) 782-4179_x000a_(217) 557-7204 FAX_x000a__x000a_District Office:_x000a_209 W. Romeo Rd._x000a_Romeoville, IL  60446_x000a_(815) 372-0085_x000a_(815) 372-0080 FAX"/>
    <s v=""/>
    <s v=""/>
    <s v=""/>
    <s v=""/>
    <s v=""/>
    <s v=""/>
    <s v=""/>
    <s v=""/>
    <s v=""/>
    <s v=""/>
    <s v=""/>
    <s v=""/>
    <s v=""/>
    <s v=""/>
    <s v=""/>
    <s v=""/>
    <s v=""/>
    <s v="371616Newsletter Recipient, 371627House of Representatives"/>
    <m/>
    <x v="0"/>
  </r>
  <r>
    <n v="37779265"/>
    <b v="0"/>
    <b v="0"/>
    <b v="0"/>
    <b v="1"/>
    <b v="0"/>
    <b v="1"/>
    <b v="1"/>
    <b v="0"/>
    <b v="0"/>
    <n v="0"/>
    <n v="0"/>
    <m/>
    <d v="2017-02-24T00:00:00"/>
    <n v="32127162"/>
    <d v="2017-02-21T00:00:00"/>
    <m/>
    <m/>
    <s v=""/>
    <b v="0"/>
    <m/>
    <m/>
    <d v="2017-02-20T00:00:00"/>
    <m/>
    <n v="791522"/>
    <b v="1"/>
    <m/>
    <m/>
    <m/>
    <x v="0"/>
    <b v="1"/>
    <n v="37779265"/>
    <s v="Michael"/>
    <s v="McAuliffe"/>
    <s v="Illinois General Assembly"/>
    <s v=""/>
    <s v="Representative Michael P. McAuliffe (R)_x000a_20th District_x000a_Assistant Republican Leader_x0009_ _x0009__x000a__x000a_Springfield Office:_x000a_219-N Stratton Office Building_x000a_Springfield, IL   62706_x000a_(217) 782-8182_x000a_(217) 782-1141 FAX_x000a__x000a_District Office:_x000a_5515 N. East River Road_x000a_Chicago, IL  60656_x000a_(773) 444-0611_x000a_(773) 444-0711 FAX"/>
    <s v="mmcauliffe20@yahoo.com"/>
    <s v=""/>
    <s v=""/>
    <s v=""/>
    <s v=""/>
    <s v=""/>
    <s v=""/>
    <s v=""/>
    <s v=""/>
    <s v=""/>
    <s v=""/>
    <s v=""/>
    <s v=""/>
    <s v=""/>
    <s v=""/>
    <s v=""/>
    <s v=""/>
    <s v="371616Newsletter Recipient, 371627House of Representatives"/>
    <m/>
    <x v="0"/>
  </r>
  <r>
    <n v="37770619"/>
    <b v="0"/>
    <b v="0"/>
    <b v="0"/>
    <b v="1"/>
    <b v="0"/>
    <b v="1"/>
    <b v="1"/>
    <b v="0"/>
    <b v="0"/>
    <n v="0"/>
    <n v="0"/>
    <m/>
    <d v="2017-02-24T00:00:00"/>
    <n v="32127162"/>
    <d v="2017-02-20T00:00:00"/>
    <m/>
    <m/>
    <s v=""/>
    <b v="0"/>
    <m/>
    <m/>
    <d v="2017-02-20T00:00:00"/>
    <m/>
    <n v="791522"/>
    <b v="1"/>
    <m/>
    <m/>
    <m/>
    <x v="0"/>
    <b v="1"/>
    <n v="37770619"/>
    <s v="Wm. Sam"/>
    <s v="McCann"/>
    <s v="Illinois General Assembly"/>
    <s v=""/>
    <s v="Senator Wm. Sam McCann (R)_x000a_50th District_x0009_ _x0009__x000a__x000a_Springfield Office:_x000a_Senator 50th District_x000a_307 Capitol Building_x000a_Springfield, IL   62706_x000a_(217) 782-8206_x000a_(217) 782-4243 FAX_x000a_ _x000a_District Office:_x000a_221 Dunlap Court_x000a_Jacksonville, IL  62650_x000a_(217) 245-0050"/>
    <s v=""/>
    <s v=""/>
    <s v=""/>
    <s v=""/>
    <s v=""/>
    <s v=""/>
    <s v="(217) 782-8206"/>
    <s v=""/>
    <s v=""/>
    <s v=""/>
    <s v=""/>
    <s v=""/>
    <s v=""/>
    <s v=""/>
    <s v=""/>
    <s v=""/>
    <s v=""/>
    <s v="371609Senator, 371616Newsletter Recipient"/>
    <m/>
    <x v="0"/>
  </r>
  <r>
    <n v="37770621"/>
    <b v="0"/>
    <b v="0"/>
    <b v="0"/>
    <b v="1"/>
    <b v="0"/>
    <b v="1"/>
    <b v="1"/>
    <b v="0"/>
    <b v="0"/>
    <n v="0"/>
    <n v="0"/>
    <m/>
    <d v="2017-02-24T00:00:00"/>
    <n v="32127162"/>
    <d v="2017-02-20T00:00:00"/>
    <m/>
    <m/>
    <s v=""/>
    <b v="0"/>
    <m/>
    <m/>
    <d v="2017-02-20T00:00:00"/>
    <m/>
    <n v="791522"/>
    <b v="1"/>
    <m/>
    <m/>
    <m/>
    <x v="0"/>
    <b v="1"/>
    <n v="37770621"/>
    <s v="Kyle"/>
    <s v="McCarter"/>
    <s v="Illinois General Assembly"/>
    <s v=""/>
    <s v="Senator Kyle McCarter (R)_x000a_54th District_x0009_ _x0009__x000a__x000a_Springfield Office:_x000a_Senator 54th District_x000a_103C Capitol Building_x000a_Springfield, IL   62706_x000a_(217) 782-5755_x000a_(217) 782-0116 FAX_x000a_ _x000a_District Office:_x000a_310 W. Gallatin_x000a_Vandalia, IL  62471_x000a_(618) 283-3000_x000a_(618) 283-9750 FAX"/>
    <s v=""/>
    <s v=""/>
    <s v=""/>
    <s v=""/>
    <s v=""/>
    <s v=""/>
    <s v="(217) 782-5755"/>
    <s v=""/>
    <s v=""/>
    <s v=""/>
    <s v=""/>
    <s v=""/>
    <s v=""/>
    <s v=""/>
    <s v=""/>
    <s v=""/>
    <s v=""/>
    <s v="371609Senator, 371616Newsletter Recipient"/>
    <m/>
    <x v="0"/>
  </r>
  <r>
    <n v="44047356"/>
    <b v="0"/>
    <b v="0"/>
    <b v="0"/>
    <b v="1"/>
    <b v="0"/>
    <b v="1"/>
    <b v="1"/>
    <b v="0"/>
    <b v="0"/>
    <n v="0"/>
    <n v="0"/>
    <m/>
    <d v="2018-03-02T00:00:00"/>
    <n v="32127162"/>
    <d v="2018-03-02T00:00:00"/>
    <m/>
    <m/>
    <s v=""/>
    <b v="0"/>
    <m/>
    <m/>
    <d v="2018-03-02T00:00:00"/>
    <m/>
    <n v="791522"/>
    <b v="1"/>
    <m/>
    <d v="2018-03-02T00:00:00"/>
    <m/>
    <x v="0"/>
    <b v="1"/>
    <n v="44047356"/>
    <s v="Erin"/>
    <s v="McCarthy"/>
    <s v="STAYWELL"/>
    <s v=""/>
    <s v=""/>
    <s v="emccarthy@staywell.com"/>
    <s v=""/>
    <s v=""/>
    <s v=""/>
    <s v=""/>
    <s v=""/>
    <s v=""/>
    <s v=""/>
    <s v=""/>
    <s v=""/>
    <s v=""/>
    <s v=""/>
    <s v=""/>
    <s v=""/>
    <s v=""/>
    <s v=""/>
    <s v=""/>
    <s v="371616Newsletter Recipient"/>
    <m/>
    <x v="0"/>
  </r>
  <r>
    <n v="37819825"/>
    <b v="0"/>
    <b v="0"/>
    <b v="0"/>
    <b v="1"/>
    <b v="0"/>
    <b v="1"/>
    <b v="1"/>
    <b v="0"/>
    <b v="0"/>
    <n v="0"/>
    <n v="0"/>
    <m/>
    <d v="2017-02-24T00:00:00"/>
    <n v="32127162"/>
    <d v="2017-02-24T00:00:00"/>
    <m/>
    <m/>
    <s v=""/>
    <b v="0"/>
    <m/>
    <m/>
    <d v="2017-02-24T00:00:00"/>
    <m/>
    <n v="791522"/>
    <b v="1"/>
    <m/>
    <m/>
    <m/>
    <x v="0"/>
    <b v="1"/>
    <n v="37819825"/>
    <s v="Wanda"/>
    <s v="McCauley"/>
    <s v=""/>
    <s v=""/>
    <s v=""/>
    <s v="wmccauley@centene.com"/>
    <s v=""/>
    <s v=""/>
    <s v=""/>
    <s v=""/>
    <s v=""/>
    <s v=""/>
    <s v=""/>
    <s v=""/>
    <s v=""/>
    <s v=""/>
    <s v=""/>
    <s v=""/>
    <s v=""/>
    <s v=""/>
    <s v=""/>
    <s v=""/>
    <s v="371616Newsletter Recipient"/>
    <m/>
    <x v="0"/>
  </r>
  <r>
    <n v="44027131"/>
    <b v="0"/>
    <b v="0"/>
    <b v="0"/>
    <b v="1"/>
    <b v="0"/>
    <b v="1"/>
    <b v="1"/>
    <b v="0"/>
    <b v="0"/>
    <n v="0"/>
    <n v="0"/>
    <m/>
    <d v="2018-05-09T00:00:00"/>
    <n v="32127162"/>
    <d v="2018-03-02T00:00:00"/>
    <m/>
    <m/>
    <s v=""/>
    <b v="0"/>
    <m/>
    <m/>
    <d v="2018-03-02T00:00:00"/>
    <m/>
    <n v="791522"/>
    <b v="1"/>
    <m/>
    <d v="2018-03-02T00:00:00"/>
    <m/>
    <x v="0"/>
    <b v="1"/>
    <n v="44027131"/>
    <s v="Robin"/>
    <s v="McClellan-Dixon"/>
    <s v="IlliniCare Health"/>
    <s v=""/>
    <s v=""/>
    <s v="robin.n.mcclellandixon@illinicare.com"/>
    <s v="312.260.5311"/>
    <s v=""/>
    <s v=""/>
    <s v=""/>
    <s v=""/>
    <s v=""/>
    <s v=""/>
    <s v=""/>
    <s v=""/>
    <s v=""/>
    <s v=""/>
    <s v=""/>
    <s v=""/>
    <s v=""/>
    <s v=""/>
    <s v=""/>
    <s v="420932FQHC - Contracts, 420933FQHC - Claims &amp; Billing, 420934FQHC - Care Coordination"/>
    <s v="10633525Contracts, 10633526Claims/Billing, 10633527Care Coordination"/>
    <x v="0"/>
  </r>
  <r>
    <n v="37779271"/>
    <b v="0"/>
    <b v="0"/>
    <b v="0"/>
    <b v="1"/>
    <b v="0"/>
    <b v="1"/>
    <b v="1"/>
    <b v="0"/>
    <b v="0"/>
    <n v="0"/>
    <n v="0"/>
    <m/>
    <d v="2017-02-24T00:00:00"/>
    <n v="32127162"/>
    <d v="2017-02-21T00:00:00"/>
    <m/>
    <m/>
    <s v=""/>
    <b v="0"/>
    <m/>
    <m/>
    <d v="2017-02-20T00:00:00"/>
    <m/>
    <n v="791522"/>
    <b v="1"/>
    <m/>
    <m/>
    <m/>
    <x v="0"/>
    <b v="1"/>
    <n v="37779271"/>
    <s v="Tony"/>
    <s v="McCombie"/>
    <s v="Illinois General Assembly"/>
    <s v=""/>
    <s v="Representative Tony McCombie (R)_x000a_71st District_x0009__x000a__x000a_Springfield Office:_x000a_205 A-N Stratton Office Building_x000a_Springfield, IL   62706_x000a_(217) 782-3992_x000a__x000a_District Office:_x000a_9317B IL Rt 84_x000a_Savanna, IL  61074_x000a_(815) 632-7384_x000a_(815) 280-0731 FAX"/>
    <s v="McCombie@ilhousegop.org"/>
    <s v=""/>
    <s v=""/>
    <s v=""/>
    <s v=""/>
    <s v=""/>
    <s v=""/>
    <s v=""/>
    <s v=""/>
    <s v=""/>
    <s v=""/>
    <s v=""/>
    <s v=""/>
    <s v=""/>
    <s v=""/>
    <s v=""/>
    <s v=""/>
    <s v="371616Newsletter Recipient, 371627House of Representatives"/>
    <m/>
    <x v="0"/>
  </r>
  <r>
    <n v="37770625"/>
    <b v="0"/>
    <b v="0"/>
    <b v="0"/>
    <b v="1"/>
    <b v="0"/>
    <b v="1"/>
    <b v="1"/>
    <b v="0"/>
    <b v="0"/>
    <n v="0"/>
    <n v="0"/>
    <m/>
    <d v="2017-02-24T00:00:00"/>
    <n v="32127162"/>
    <d v="2017-02-20T00:00:00"/>
    <m/>
    <m/>
    <s v=""/>
    <b v="0"/>
    <m/>
    <m/>
    <d v="2017-02-20T00:00:00"/>
    <m/>
    <n v="791522"/>
    <b v="1"/>
    <m/>
    <m/>
    <m/>
    <x v="0"/>
    <b v="1"/>
    <n v="37770625"/>
    <s v="Dan"/>
    <s v="McConchie"/>
    <s v="Illinois General Assembly"/>
    <s v=""/>
    <s v="Senator Dan McConchie (R)_x000a_26th District_x0009_ _x0009__x000a__x000a_Springfield Office:_x000a_Senator 26th District_x000a_108B Capitol Building_x000a_Springfield, IL   62706_x000a_(217) 782-8010_x000a_ _x000a_District Office:_x000a_325 N. Rand Road_x000a_Suite B_x000a_Lake Zurich, IL  60047_x000a_(224) 662-4544"/>
    <s v=""/>
    <s v=""/>
    <s v=""/>
    <s v=""/>
    <s v=""/>
    <s v=""/>
    <s v="(217) 782-8010"/>
    <s v=""/>
    <s v=""/>
    <s v=""/>
    <s v=""/>
    <s v=""/>
    <s v=""/>
    <s v=""/>
    <s v=""/>
    <s v=""/>
    <s v=""/>
    <s v="371609Senator, 371616Newsletter Recipient"/>
    <m/>
    <x v="0"/>
  </r>
  <r>
    <n v="37770630"/>
    <b v="0"/>
    <b v="0"/>
    <b v="0"/>
    <b v="1"/>
    <b v="0"/>
    <b v="1"/>
    <b v="1"/>
    <b v="0"/>
    <b v="0"/>
    <n v="0"/>
    <n v="0"/>
    <m/>
    <d v="2017-02-24T00:00:00"/>
    <n v="32127162"/>
    <d v="2017-02-20T00:00:00"/>
    <m/>
    <m/>
    <s v=""/>
    <b v="0"/>
    <m/>
    <m/>
    <d v="2017-02-20T00:00:00"/>
    <m/>
    <n v="791522"/>
    <b v="1"/>
    <m/>
    <m/>
    <m/>
    <x v="0"/>
    <b v="1"/>
    <n v="37770630"/>
    <s v="Karen"/>
    <s v="McConnaughay"/>
    <s v="Illinois General Assembly"/>
    <s v=""/>
    <s v="Senator Karen McConnaughay (R)_x000a_33rd District_x000a_Republican Caucus Whip_x0009_ _x0009__x000a__x000a_Springfield Office:_x000a_Senator 33rd District_x000a_103D Capitol Building_x000a_Springfield, IL   62706_x000a_(217) 782-1977_x000a_(217) 782-4079 FAX_x000a_ _x000a_District Office:_x000a_130 Washington St._x000a_West Dundee, IL  60118_x000a_(847) 214-8245"/>
    <s v=""/>
    <s v=""/>
    <s v=""/>
    <s v=""/>
    <s v=""/>
    <s v=""/>
    <s v="(217) 782-1977"/>
    <s v=""/>
    <s v=""/>
    <s v=""/>
    <s v=""/>
    <s v=""/>
    <s v=""/>
    <s v=""/>
    <s v=""/>
    <s v=""/>
    <s v=""/>
    <s v="371609Senator, 371616Newsletter Recipient"/>
    <m/>
    <x v="0"/>
  </r>
  <r>
    <n v="46436561"/>
    <b v="0"/>
    <b v="0"/>
    <b v="0"/>
    <b v="1"/>
    <b v="0"/>
    <b v="1"/>
    <b v="1"/>
    <b v="0"/>
    <b v="0"/>
    <n v="0"/>
    <n v="0"/>
    <m/>
    <d v="2018-06-21T00:00:00"/>
    <n v="32127162"/>
    <d v="2018-06-21T00:00:00"/>
    <m/>
    <m/>
    <s v=""/>
    <b v="0"/>
    <m/>
    <m/>
    <d v="2018-06-21T00:00:00"/>
    <m/>
    <n v="791522"/>
    <b v="1"/>
    <m/>
    <d v="2018-06-21T00:00:00"/>
    <m/>
    <x v="0"/>
    <b v="1"/>
    <n v="46436561"/>
    <s v="Kristin"/>
    <s v="McCracken"/>
    <s v="AMAC Tunstall"/>
    <s v=""/>
    <s v=""/>
    <s v="kristin.mccracken@tunstall.com"/>
    <s v=""/>
    <s v=""/>
    <s v=""/>
    <s v=""/>
    <s v=""/>
    <s v=""/>
    <s v=""/>
    <s v="AMAC Tunstall"/>
    <s v=""/>
    <s v=""/>
    <s v=""/>
    <s v=""/>
    <s v=""/>
    <s v=""/>
    <s v=""/>
    <s v=""/>
    <s v="371616Newsletter Recipient"/>
    <m/>
    <x v="0"/>
  </r>
  <r>
    <n v="37779274"/>
    <b v="0"/>
    <b v="0"/>
    <b v="0"/>
    <b v="1"/>
    <b v="0"/>
    <b v="1"/>
    <b v="1"/>
    <b v="0"/>
    <b v="0"/>
    <n v="0"/>
    <n v="0"/>
    <m/>
    <d v="2017-02-24T00:00:00"/>
    <n v="32127162"/>
    <d v="2017-02-21T00:00:00"/>
    <m/>
    <m/>
    <s v=""/>
    <b v="0"/>
    <m/>
    <m/>
    <d v="2017-02-20T00:00:00"/>
    <m/>
    <n v="791522"/>
    <b v="1"/>
    <m/>
    <m/>
    <m/>
    <x v="0"/>
    <b v="1"/>
    <n v="37779274"/>
    <s v="Margo"/>
    <s v="McDermed"/>
    <s v="Illinois General Assembly"/>
    <s v=""/>
    <s v="Representative Margo McDermed (R)_x000a_37th District _x0009__x000a__x000a_Springfield Office:_x000a_209-N Stratton Office Building_x000a_Springfield, IL   62706_x000a_(217) 782-0424_x000a_(217) 782-1141 FAX_x000a__x000a_District Office:_x000a_11032 W. Lincoln Hwy_x000a_Frankfort, IL  60423_x000a_(815) 277-2079_x000a_(815) 277-2170 FAX"/>
    <s v="McDermed@ilhousegop.org"/>
    <s v=""/>
    <s v=""/>
    <s v=""/>
    <s v=""/>
    <s v=""/>
    <s v=""/>
    <s v=""/>
    <s v=""/>
    <s v=""/>
    <s v=""/>
    <s v=""/>
    <s v=""/>
    <s v=""/>
    <s v=""/>
    <s v=""/>
    <s v=""/>
    <s v="371616Newsletter Recipient, 371627House of Representatives"/>
    <m/>
    <x v="0"/>
  </r>
  <r>
    <n v="39460297"/>
    <b v="0"/>
    <b v="0"/>
    <b v="0"/>
    <b v="1"/>
    <b v="0"/>
    <b v="1"/>
    <b v="1"/>
    <b v="0"/>
    <b v="0"/>
    <n v="0"/>
    <n v="0"/>
    <m/>
    <d v="2017-06-26T00:00:00"/>
    <n v="32127162"/>
    <d v="2017-06-26T00:00:00"/>
    <m/>
    <m/>
    <s v=""/>
    <b v="0"/>
    <m/>
    <m/>
    <d v="2017-06-26T00:00:00"/>
    <m/>
    <n v="791522"/>
    <b v="1"/>
    <m/>
    <m/>
    <m/>
    <x v="0"/>
    <b v="1"/>
    <n v="39460297"/>
    <s v="John"/>
    <s v="McGehee"/>
    <s v="Bud's Ambulance Service"/>
    <s v=""/>
    <s v=""/>
    <s v="jmcgehee@budsambulance.net"/>
    <s v=""/>
    <s v=""/>
    <s v=""/>
    <s v=""/>
    <s v=""/>
    <s v=""/>
    <s v=""/>
    <s v=""/>
    <s v=""/>
    <s v=""/>
    <s v=""/>
    <s v=""/>
    <s v=""/>
    <s v=""/>
    <s v=""/>
    <s v=""/>
    <s v="371616Newsletter Recipient"/>
    <m/>
    <x v="0"/>
  </r>
  <r>
    <n v="43224510"/>
    <b v="0"/>
    <b v="0"/>
    <b v="0"/>
    <b v="1"/>
    <b v="0"/>
    <b v="1"/>
    <b v="1"/>
    <b v="0"/>
    <b v="0"/>
    <n v="0"/>
    <n v="0"/>
    <m/>
    <d v="2018-01-11T00:00:00"/>
    <n v="32127162"/>
    <d v="2018-01-11T00:00:00"/>
    <m/>
    <m/>
    <s v=""/>
    <b v="0"/>
    <m/>
    <m/>
    <d v="2018-01-11T00:00:00"/>
    <m/>
    <n v="791522"/>
    <b v="1"/>
    <m/>
    <d v="2018-01-11T00:00:00"/>
    <m/>
    <x v="0"/>
    <b v="1"/>
    <n v="43224510"/>
    <s v="Kelly"/>
    <s v="McGivern"/>
    <s v="Molina Healthcare of Illinois, Inc."/>
    <s v=""/>
    <s v=""/>
    <s v="Kelly.Mcgivern@MolinaHealthCare.Com"/>
    <s v=""/>
    <s v=""/>
    <s v=""/>
    <s v=""/>
    <s v=""/>
    <s v=""/>
    <s v=""/>
    <s v=""/>
    <s v=""/>
    <s v=""/>
    <s v=""/>
    <s v=""/>
    <s v=""/>
    <s v=""/>
    <s v=""/>
    <s v=""/>
    <s v="371616Newsletter Recipient, 372296Legislative Committee"/>
    <m/>
    <x v="0"/>
  </r>
  <r>
    <n v="34022382"/>
    <b v="0"/>
    <b v="0"/>
    <b v="0"/>
    <b v="1"/>
    <b v="0"/>
    <b v="1"/>
    <b v="1"/>
    <b v="0"/>
    <b v="0"/>
    <n v="0"/>
    <n v="0"/>
    <m/>
    <d v="2018-06-29T00:00:00"/>
    <n v="32127162"/>
    <d v="2016-08-22T00:00:00"/>
    <m/>
    <m/>
    <s v=""/>
    <b v="0"/>
    <m/>
    <m/>
    <d v="2016-08-22T00:00:00"/>
    <m/>
    <n v="791522"/>
    <b v="1"/>
    <m/>
    <m/>
    <m/>
    <x v="0"/>
    <b v="1"/>
    <n v="34022382"/>
    <s v="Andrea"/>
    <s v="McGlynn"/>
    <s v="CountyCare Health Plan"/>
    <s v=""/>
    <s v=""/>
    <s v="AMcGlynn@cookcountyhhs.org"/>
    <s v="312-864-0915"/>
    <s v=""/>
    <s v=""/>
    <s v=""/>
    <s v=""/>
    <s v=""/>
    <s v=""/>
    <s v=""/>
    <s v=""/>
    <s v=""/>
    <s v=""/>
    <s v=""/>
    <s v=""/>
    <s v=""/>
    <s v=""/>
    <s v=""/>
    <s v="371616Newsletter Recipient, 372293Quality Committee, 443813Discharge Planning"/>
    <m/>
    <x v="0"/>
  </r>
  <r>
    <n v="37770635"/>
    <b v="0"/>
    <b v="0"/>
    <b v="0"/>
    <b v="1"/>
    <b v="0"/>
    <b v="1"/>
    <b v="1"/>
    <b v="0"/>
    <b v="0"/>
    <n v="0"/>
    <n v="0"/>
    <m/>
    <d v="2017-02-24T00:00:00"/>
    <n v="32127162"/>
    <d v="2017-02-20T00:00:00"/>
    <m/>
    <m/>
    <s v=""/>
    <b v="0"/>
    <m/>
    <m/>
    <d v="2017-02-20T00:00:00"/>
    <m/>
    <n v="791522"/>
    <b v="1"/>
    <m/>
    <m/>
    <m/>
    <x v="0"/>
    <b v="1"/>
    <n v="37770635"/>
    <s v="Pat"/>
    <s v="McGuire"/>
    <s v="Illinois General Assembly"/>
    <s v=""/>
    <s v="Senator Pat McGuire (D)_x000a_43rd District _x0009__x000a__x000a_Springfield Office:_x000a_Senator 43rd District_x000a_417C Capitol Building_x000a_Springfield, IL   62706_x000a_(217) 782-8800_x000a_(217) 782-3088 FAX_x000a_ _x000a_District Office:_x000a_2200 Weber Road_x000a_Crest Hill, IL  60403_x000a_(815) 207-4445_x000a_(815) 207-4446 FAX"/>
    <s v=""/>
    <s v=""/>
    <s v=""/>
    <s v=""/>
    <s v=""/>
    <s v=""/>
    <s v="(217) 782-8800"/>
    <s v=""/>
    <s v=""/>
    <s v=""/>
    <s v=""/>
    <s v=""/>
    <s v=""/>
    <s v=""/>
    <s v=""/>
    <s v=""/>
    <s v=""/>
    <s v="371609Senator, 371616Newsletter Recipient"/>
    <m/>
    <x v="0"/>
  </r>
  <r>
    <n v="42678211"/>
    <b v="0"/>
    <b v="0"/>
    <b v="0"/>
    <b v="1"/>
    <b v="0"/>
    <b v="1"/>
    <b v="1"/>
    <b v="0"/>
    <b v="0"/>
    <n v="0"/>
    <n v="0"/>
    <m/>
    <d v="2018-02-12T00:00:00"/>
    <n v="32127162"/>
    <d v="2017-11-17T00:00:00"/>
    <m/>
    <m/>
    <s v=""/>
    <b v="0"/>
    <m/>
    <m/>
    <d v="2017-11-17T00:00:00"/>
    <m/>
    <n v="791522"/>
    <b v="1"/>
    <m/>
    <d v="2017-11-17T00:00:00"/>
    <m/>
    <x v="0"/>
    <b v="1"/>
    <n v="42678211"/>
    <s v="Carlotta"/>
    <s v="McIntosh"/>
    <s v="Harrisburg Medical Center"/>
    <s v=""/>
    <s v=""/>
    <s v="cmcintosh@harrisburgmc.com"/>
    <s v=""/>
    <s v=""/>
    <s v=""/>
    <s v=""/>
    <s v=""/>
    <s v=""/>
    <s v=""/>
    <s v="Harrisburg Medical Center"/>
    <s v=""/>
    <s v=""/>
    <s v=""/>
    <s v=""/>
    <s v=""/>
    <s v=""/>
    <s v=""/>
    <s v=""/>
    <s v="371616Newsletter Recipient"/>
    <m/>
    <x v="0"/>
  </r>
  <r>
    <n v="44248111"/>
    <b v="0"/>
    <b v="0"/>
    <b v="0"/>
    <b v="1"/>
    <b v="0"/>
    <b v="1"/>
    <b v="1"/>
    <b v="0"/>
    <b v="0"/>
    <n v="0"/>
    <n v="0"/>
    <m/>
    <d v="2018-03-16T00:00:00"/>
    <n v="32127162"/>
    <d v="2018-03-15T00:00:00"/>
    <m/>
    <m/>
    <s v=""/>
    <b v="0"/>
    <m/>
    <m/>
    <d v="2018-03-15T00:00:00"/>
    <m/>
    <n v="791522"/>
    <b v="1"/>
    <m/>
    <d v="2018-03-15T00:00:00"/>
    <m/>
    <x v="0"/>
    <b v="1"/>
    <n v="44248111"/>
    <s v="Orin"/>
    <s v="McIntosh"/>
    <s v="IlliniCare Health"/>
    <s v=""/>
    <s v=""/>
    <s v="orin.l.mcintosh@illinicare.com"/>
    <s v=""/>
    <s v=""/>
    <s v=""/>
    <s v=""/>
    <s v=""/>
    <s v=""/>
    <s v=""/>
    <s v=""/>
    <s v=""/>
    <s v=""/>
    <s v=""/>
    <s v=""/>
    <s v=""/>
    <s v=""/>
    <s v=""/>
    <s v=""/>
    <s v="335742Chief Financial Officer, 371616Newsletter Recipient, 372294Finance Committee"/>
    <m/>
    <x v="0"/>
  </r>
  <r>
    <n v="41827186"/>
    <b v="0"/>
    <b v="0"/>
    <b v="0"/>
    <b v="1"/>
    <b v="0"/>
    <b v="1"/>
    <b v="1"/>
    <b v="0"/>
    <b v="0"/>
    <n v="0"/>
    <n v="0"/>
    <m/>
    <d v="2017-10-02T00:00:00"/>
    <n v="32127162"/>
    <d v="2017-10-02T00:00:00"/>
    <m/>
    <m/>
    <s v=""/>
    <b v="0"/>
    <m/>
    <m/>
    <d v="2017-10-02T00:00:00"/>
    <m/>
    <n v="791522"/>
    <b v="1"/>
    <m/>
    <d v="2017-10-02T00:00:00"/>
    <m/>
    <x v="0"/>
    <b v="1"/>
    <n v="41827186"/>
    <s v="Joe"/>
    <s v="McLaurin"/>
    <s v=""/>
    <s v=""/>
    <s v=""/>
    <s v="joe.mclaurin@nlhpartners.com"/>
    <s v=""/>
    <s v=""/>
    <s v=""/>
    <s v=""/>
    <s v=""/>
    <s v=""/>
    <s v=""/>
    <s v=""/>
    <s v=""/>
    <s v=""/>
    <s v=""/>
    <s v=""/>
    <s v=""/>
    <s v=""/>
    <s v=""/>
    <s v=""/>
    <s v="371616Newsletter Recipient"/>
    <m/>
    <x v="0"/>
  </r>
  <r>
    <n v="36785371"/>
    <b v="0"/>
    <b v="0"/>
    <b v="0"/>
    <b v="1"/>
    <b v="0"/>
    <b v="1"/>
    <b v="1"/>
    <b v="0"/>
    <b v="0"/>
    <n v="0"/>
    <n v="0"/>
    <m/>
    <d v="2017-12-20T00:00:00"/>
    <n v="32127162"/>
    <d v="2017-01-03T00:00:00"/>
    <m/>
    <m/>
    <s v=""/>
    <b v="0"/>
    <m/>
    <m/>
    <d v="2017-01-03T00:00:00"/>
    <m/>
    <n v="791522"/>
    <b v="1"/>
    <m/>
    <m/>
    <m/>
    <x v="0"/>
    <b v="1"/>
    <n v="36785371"/>
    <s v="Donald (Andrew)"/>
    <s v="McNamara"/>
    <s v="Aetna Better Health"/>
    <s v=""/>
    <s v="Chief Medical Officer"/>
    <s v="mcnamarad@aetna.com"/>
    <s v="312.821.0638"/>
    <s v=""/>
    <s v=""/>
    <s v=""/>
    <s v=""/>
    <s v=""/>
    <s v=""/>
    <s v=""/>
    <s v=""/>
    <s v=""/>
    <s v=""/>
    <s v=""/>
    <s v=""/>
    <s v=""/>
    <s v=""/>
    <s v=""/>
    <s v="371616Newsletter Recipient"/>
    <m/>
    <x v="0"/>
  </r>
  <r>
    <n v="40308699"/>
    <b v="0"/>
    <b v="0"/>
    <b v="0"/>
    <b v="1"/>
    <b v="0"/>
    <b v="1"/>
    <b v="1"/>
    <b v="0"/>
    <b v="0"/>
    <n v="0"/>
    <n v="0"/>
    <m/>
    <d v="2017-07-10T00:00:00"/>
    <n v="32127162"/>
    <d v="2017-07-10T00:00:00"/>
    <m/>
    <m/>
    <s v=""/>
    <b v="0"/>
    <m/>
    <m/>
    <d v="2017-07-10T00:00:00"/>
    <m/>
    <n v="791522"/>
    <b v="1"/>
    <m/>
    <m/>
    <m/>
    <x v="0"/>
    <b v="1"/>
    <n v="40308699"/>
    <s v="Jerry"/>
    <s v="McNamara"/>
    <s v="Lexington Healthcare"/>
    <s v=""/>
    <s v=""/>
    <s v="jerry.mcnamara@lexingtonhealth.com"/>
    <s v=""/>
    <s v=""/>
    <s v=""/>
    <s v=""/>
    <s v=""/>
    <s v=""/>
    <s v=""/>
    <s v=""/>
    <s v=""/>
    <s v=""/>
    <s v=""/>
    <s v=""/>
    <s v=""/>
    <s v=""/>
    <s v=""/>
    <s v=""/>
    <s v="371616Newsletter Recipient"/>
    <m/>
    <x v="0"/>
  </r>
  <r>
    <n v="43275568"/>
    <b v="0"/>
    <b v="0"/>
    <b v="0"/>
    <b v="1"/>
    <b v="0"/>
    <b v="1"/>
    <b v="1"/>
    <b v="0"/>
    <b v="0"/>
    <n v="0"/>
    <n v="0"/>
    <m/>
    <d v="2018-02-12T00:00:00"/>
    <n v="32127162"/>
    <d v="2018-01-16T00:00:00"/>
    <m/>
    <m/>
    <s v=""/>
    <b v="0"/>
    <m/>
    <m/>
    <d v="2018-01-16T00:00:00"/>
    <m/>
    <n v="791522"/>
    <b v="1"/>
    <m/>
    <d v="2018-01-16T00:00:00"/>
    <m/>
    <x v="0"/>
    <b v="1"/>
    <n v="43275568"/>
    <s v="James"/>
    <s v="McNeal"/>
    <s v="Blue Cross Blue Shield of Illinois"/>
    <s v=""/>
    <s v=""/>
    <s v="James_Mcneal@bcbsil.com"/>
    <s v=""/>
    <s v=""/>
    <s v=""/>
    <s v=""/>
    <s v=""/>
    <s v=""/>
    <s v=""/>
    <s v=""/>
    <s v=""/>
    <s v=""/>
    <s v=""/>
    <s v=""/>
    <s v=""/>
    <s v=""/>
    <s v=""/>
    <s v=""/>
    <s v="335736Provider Relations - Committee Members"/>
    <m/>
    <x v="0"/>
  </r>
  <r>
    <n v="46436576"/>
    <b v="0"/>
    <b v="0"/>
    <b v="0"/>
    <b v="1"/>
    <b v="0"/>
    <b v="1"/>
    <b v="1"/>
    <b v="0"/>
    <b v="0"/>
    <n v="0"/>
    <n v="0"/>
    <m/>
    <d v="2018-06-21T00:00:00"/>
    <n v="32127162"/>
    <d v="2018-06-21T00:00:00"/>
    <m/>
    <m/>
    <s v=""/>
    <b v="0"/>
    <m/>
    <m/>
    <d v="2018-06-21T00:00:00"/>
    <m/>
    <n v="791522"/>
    <b v="1"/>
    <m/>
    <d v="2018-06-21T00:00:00"/>
    <m/>
    <x v="0"/>
    <b v="1"/>
    <n v="46436576"/>
    <s v="Cindy"/>
    <s v="McNew"/>
    <s v="BHA"/>
    <s v=""/>
    <s v=""/>
    <s v="cmcnew@bha-inc.org"/>
    <s v=""/>
    <s v=""/>
    <s v=""/>
    <s v=""/>
    <s v=""/>
    <s v=""/>
    <s v=""/>
    <s v="BHA"/>
    <s v=""/>
    <s v=""/>
    <s v=""/>
    <s v=""/>
    <s v=""/>
    <s v=""/>
    <s v=""/>
    <s v=""/>
    <s v="371616Newsletter Recipient"/>
    <m/>
    <x v="0"/>
  </r>
  <r>
    <n v="37819827"/>
    <b v="0"/>
    <b v="0"/>
    <b v="0"/>
    <b v="1"/>
    <b v="0"/>
    <b v="1"/>
    <b v="0"/>
    <b v="0"/>
    <b v="0"/>
    <n v="0"/>
    <n v="0"/>
    <m/>
    <d v="2018-01-05T00:00:00"/>
    <n v="32127162"/>
    <d v="2017-02-24T00:00:00"/>
    <m/>
    <m/>
    <s v=""/>
    <b v="0"/>
    <m/>
    <m/>
    <d v="2017-02-24T00:00:00"/>
    <m/>
    <n v="791522"/>
    <b v="1"/>
    <m/>
    <m/>
    <m/>
    <x v="0"/>
    <b v="1"/>
    <n v="37819827"/>
    <s v="Jim"/>
    <s v="McPike"/>
    <s v="Dorgan / McPike &amp; Associates"/>
    <s v=""/>
    <s v=""/>
    <s v="jbmcpike@gmail.com"/>
    <s v=""/>
    <s v=""/>
    <s v=""/>
    <s v=""/>
    <s v=""/>
    <s v=""/>
    <s v=""/>
    <s v=""/>
    <s v=""/>
    <s v=""/>
    <s v=""/>
    <s v=""/>
    <s v=""/>
    <s v=""/>
    <s v=""/>
    <s v=""/>
    <s v="371616Newsletter Recipient"/>
    <m/>
    <x v="0"/>
  </r>
  <r>
    <n v="37779278"/>
    <b v="0"/>
    <b v="0"/>
    <b v="0"/>
    <b v="1"/>
    <b v="0"/>
    <b v="1"/>
    <b v="1"/>
    <b v="0"/>
    <b v="0"/>
    <n v="0"/>
    <n v="0"/>
    <m/>
    <d v="2017-02-24T00:00:00"/>
    <n v="32127162"/>
    <d v="2017-02-21T00:00:00"/>
    <m/>
    <m/>
    <s v=""/>
    <b v="0"/>
    <m/>
    <m/>
    <d v="2017-02-20T00:00:00"/>
    <m/>
    <n v="791522"/>
    <b v="1"/>
    <m/>
    <m/>
    <m/>
    <x v="0"/>
    <b v="1"/>
    <n v="37779278"/>
    <s v="David"/>
    <s v="McSweeney"/>
    <s v="Illinois General Assembly"/>
    <s v=""/>
    <s v="Representative David McSweeney (R)_x000a_52nd District _x0009__x000a__x000a_Springfield Office:_x000a_226-N Stratton Office Building_x000a_Springfield, IL   62706_x000a_(217) 782-1517_x000a__x000a_District Office:_x000a_105 E. Main Street_x000a_Cary, IL  60013_x000a_(847) 516-0052"/>
    <s v="mcsweeney@ilhousegop.org"/>
    <s v=""/>
    <s v=""/>
    <s v=""/>
    <s v=""/>
    <s v=""/>
    <s v=""/>
    <s v=""/>
    <s v=""/>
    <s v=""/>
    <s v=""/>
    <s v=""/>
    <s v=""/>
    <s v=""/>
    <s v=""/>
    <s v=""/>
    <s v=""/>
    <s v="371616Newsletter Recipient, 371627House of Representatives"/>
    <m/>
    <x v="0"/>
  </r>
  <r>
    <n v="37819828"/>
    <b v="0"/>
    <b v="0"/>
    <b v="0"/>
    <b v="1"/>
    <b v="0"/>
    <b v="1"/>
    <b v="1"/>
    <b v="0"/>
    <b v="0"/>
    <n v="0"/>
    <n v="0"/>
    <m/>
    <d v="2017-02-24T00:00:00"/>
    <n v="32127162"/>
    <d v="2017-02-24T00:00:00"/>
    <m/>
    <m/>
    <s v=""/>
    <b v="0"/>
    <m/>
    <m/>
    <d v="2017-02-24T00:00:00"/>
    <m/>
    <n v="791522"/>
    <b v="1"/>
    <m/>
    <m/>
    <m/>
    <x v="0"/>
    <b v="1"/>
    <n v="37819828"/>
    <s v="Dave"/>
    <s v="Meadows"/>
    <s v="LIBERTY Dental Plan"/>
    <s v=""/>
    <s v=""/>
    <s v=""/>
    <s v=""/>
    <s v=""/>
    <s v=""/>
    <s v=""/>
    <s v=""/>
    <s v=""/>
    <s v=""/>
    <s v=""/>
    <s v="Senior VP of Government Programs"/>
    <s v=""/>
    <s v=""/>
    <s v=""/>
    <s v=""/>
    <s v=""/>
    <s v=""/>
    <s v=""/>
    <s v="371616Newsletter Recipient"/>
    <m/>
    <x v="0"/>
  </r>
  <r>
    <n v="37822536"/>
    <b v="0"/>
    <b v="0"/>
    <b v="0"/>
    <b v="1"/>
    <b v="0"/>
    <b v="1"/>
    <b v="1"/>
    <b v="0"/>
    <b v="0"/>
    <n v="0"/>
    <n v="0"/>
    <m/>
    <d v="2017-02-24T00:00:00"/>
    <n v="32127162"/>
    <d v="2017-02-24T00:00:00"/>
    <m/>
    <m/>
    <s v=""/>
    <b v="0"/>
    <m/>
    <m/>
    <d v="2017-02-24T00:00:00"/>
    <m/>
    <n v="791522"/>
    <b v="1"/>
    <m/>
    <m/>
    <m/>
    <x v="0"/>
    <b v="1"/>
    <n v="37822536"/>
    <s v="Assistant to Senator Donne E. Trotter"/>
    <s v="Mearles"/>
    <s v=""/>
    <s v=""/>
    <s v=""/>
    <s v="mearles@senatedem.ilga.gov"/>
    <s v=""/>
    <s v=""/>
    <s v=""/>
    <s v=""/>
    <s v=""/>
    <s v=""/>
    <s v=""/>
    <s v=""/>
    <s v=""/>
    <s v=""/>
    <s v=""/>
    <s v=""/>
    <s v=""/>
    <s v=""/>
    <s v=""/>
    <s v=""/>
    <s v="371616Newsletter Recipient, 372319IGA Senate Staff"/>
    <m/>
    <x v="0"/>
  </r>
  <r>
    <n v="39535739"/>
    <b v="0"/>
    <b v="0"/>
    <b v="0"/>
    <b v="1"/>
    <b v="0"/>
    <b v="1"/>
    <b v="1"/>
    <b v="0"/>
    <b v="0"/>
    <n v="0"/>
    <n v="0"/>
    <m/>
    <d v="2018-02-12T00:00:00"/>
    <n v="32127162"/>
    <d v="2017-06-28T00:00:00"/>
    <m/>
    <m/>
    <s v=""/>
    <b v="0"/>
    <m/>
    <m/>
    <d v="2017-06-28T00:00:00"/>
    <m/>
    <n v="791522"/>
    <b v="1"/>
    <m/>
    <m/>
    <m/>
    <x v="0"/>
    <b v="1"/>
    <n v="39535739"/>
    <s v="Denise"/>
    <s v="Meginniss"/>
    <s v="Humana"/>
    <s v=""/>
    <s v=""/>
    <s v="Denise.Meginniss@beaconhealthoptions.com"/>
    <s v="630.382.5251"/>
    <s v=""/>
    <s v=""/>
    <s v=""/>
    <s v=""/>
    <s v=""/>
    <s v=""/>
    <s v=""/>
    <s v=""/>
    <s v=""/>
    <s v=""/>
    <s v=""/>
    <s v=""/>
    <s v=""/>
    <s v=""/>
    <s v=""/>
    <s v="371616Newsletter Recipient"/>
    <m/>
    <x v="0"/>
  </r>
  <r>
    <n v="37779282"/>
    <b v="0"/>
    <b v="0"/>
    <b v="0"/>
    <b v="1"/>
    <b v="0"/>
    <b v="1"/>
    <b v="1"/>
    <b v="0"/>
    <b v="0"/>
    <n v="0"/>
    <n v="0"/>
    <m/>
    <d v="2017-02-24T00:00:00"/>
    <n v="32127162"/>
    <d v="2017-02-21T00:00:00"/>
    <m/>
    <m/>
    <s v=""/>
    <b v="0"/>
    <m/>
    <m/>
    <d v="2017-02-20T00:00:00"/>
    <m/>
    <n v="791522"/>
    <b v="1"/>
    <m/>
    <m/>
    <m/>
    <x v="0"/>
    <b v="1"/>
    <n v="37779282"/>
    <s v="Charles"/>
    <s v="Meier"/>
    <s v="Illinois General Assembly"/>
    <s v=""/>
    <s v="Representative Charles Meier (R)_x000a_108th District_x0009_ _x0009__x000a__x000a_Springfield Office:_x000a_200-7N Stratton Office Building_x000a_Springfield, IL   62706_x000a_(217) 782-6401_x000a__x000a_District Office:_x000a_121 Broadway_x000a_Suite 1_x000a_Highland, IL  62249_x000a_(618) 651-0405_x000a_(618) 651-0413 FAX"/>
    <s v="repcmeier@gmail.com"/>
    <s v=""/>
    <s v=""/>
    <s v=""/>
    <s v=""/>
    <s v=""/>
    <s v=""/>
    <s v=""/>
    <s v=""/>
    <s v=""/>
    <s v=""/>
    <s v=""/>
    <s v=""/>
    <s v=""/>
    <s v=""/>
    <s v=""/>
    <s v=""/>
    <s v="371616Newsletter Recipient, 371627House of Representatives"/>
    <m/>
    <x v="0"/>
  </r>
  <r>
    <n v="37819832"/>
    <b v="0"/>
    <b v="0"/>
    <b v="0"/>
    <b v="1"/>
    <b v="0"/>
    <b v="1"/>
    <b v="1"/>
    <b v="0"/>
    <b v="0"/>
    <n v="0"/>
    <n v="0"/>
    <m/>
    <d v="2018-02-12T00:00:00"/>
    <n v="32127162"/>
    <d v="2017-02-24T00:00:00"/>
    <m/>
    <m/>
    <s v=""/>
    <b v="0"/>
    <m/>
    <m/>
    <d v="2017-02-24T00:00:00"/>
    <m/>
    <n v="791522"/>
    <b v="1"/>
    <m/>
    <m/>
    <m/>
    <x v="0"/>
    <b v="1"/>
    <n v="37819832"/>
    <s v="Susan"/>
    <s v="Melczer"/>
    <s v="Illinois Health and Hospital Association (IHA)"/>
    <s v=""/>
    <s v=""/>
    <s v="smelczer@team-iha.org"/>
    <s v=""/>
    <s v=""/>
    <s v=""/>
    <s v=""/>
    <s v=""/>
    <s v=""/>
    <s v=""/>
    <s v=""/>
    <s v="Director, Patient Financial Services - Health Delivery &amp; Payment Systems"/>
    <s v=""/>
    <s v=""/>
    <s v=""/>
    <s v=""/>
    <s v=""/>
    <s v=""/>
    <s v=""/>
    <s v="371616Newsletter Recipient"/>
    <m/>
    <x v="0"/>
  </r>
  <r>
    <n v="37819838"/>
    <b v="0"/>
    <b v="0"/>
    <b v="0"/>
    <b v="1"/>
    <b v="0"/>
    <b v="1"/>
    <b v="1"/>
    <b v="0"/>
    <b v="0"/>
    <n v="0"/>
    <n v="0"/>
    <m/>
    <d v="2017-02-24T00:00:00"/>
    <n v="32127162"/>
    <d v="2017-02-24T00:00:00"/>
    <m/>
    <m/>
    <s v=""/>
    <b v="0"/>
    <m/>
    <m/>
    <d v="2017-02-24T00:00:00"/>
    <m/>
    <n v="791522"/>
    <b v="1"/>
    <m/>
    <m/>
    <m/>
    <x v="0"/>
    <b v="1"/>
    <n v="37819838"/>
    <s v="Robert"/>
    <s v="Mendonsa"/>
    <s v="Illinois Department of Healthcare and Family Services (HFS)"/>
    <s v=""/>
    <s v=""/>
    <s v="robert.mendonsa@illinois.gov"/>
    <s v=""/>
    <s v=""/>
    <s v=""/>
    <s v=""/>
    <s v=""/>
    <s v=""/>
    <s v=""/>
    <s v=""/>
    <s v="Deputy Administrator of Care Coordination"/>
    <s v=""/>
    <s v=""/>
    <s v=""/>
    <s v=""/>
    <s v=""/>
    <s v=""/>
    <s v=""/>
    <s v="371616Newsletter Recipient"/>
    <m/>
    <x v="0"/>
  </r>
  <r>
    <n v="43669409"/>
    <b v="0"/>
    <b v="0"/>
    <b v="0"/>
    <b v="1"/>
    <b v="0"/>
    <b v="1"/>
    <b v="1"/>
    <b v="0"/>
    <b v="0"/>
    <n v="0"/>
    <n v="0"/>
    <m/>
    <d v="2018-02-08T00:00:00"/>
    <n v="32127162"/>
    <d v="2018-02-08T00:00:00"/>
    <m/>
    <m/>
    <s v=""/>
    <b v="0"/>
    <m/>
    <m/>
    <d v="2018-02-07T00:00:00"/>
    <m/>
    <n v="791522"/>
    <b v="1"/>
    <m/>
    <d v="2018-02-08T00:00:00"/>
    <m/>
    <x v="0"/>
    <b v="1"/>
    <n v="43669409"/>
    <s v="Debra"/>
    <s v="Merchant"/>
    <s v="IlliniCare Health"/>
    <s v=""/>
    <s v=""/>
    <s v="debra.a.merchant@illinicare.com"/>
    <s v=""/>
    <s v=""/>
    <s v=""/>
    <s v=""/>
    <s v=""/>
    <s v=""/>
    <s v=""/>
    <s v=""/>
    <s v=""/>
    <s v=""/>
    <s v=""/>
    <s v=""/>
    <s v=""/>
    <s v=""/>
    <s v=""/>
    <s v=""/>
    <s v="335736Provider Relations - Committee Members, 371616Newsletter Recipient"/>
    <m/>
    <x v="0"/>
  </r>
  <r>
    <n v="34514578"/>
    <b v="0"/>
    <b v="0"/>
    <b v="0"/>
    <b v="1"/>
    <b v="0"/>
    <b v="1"/>
    <b v="1"/>
    <b v="0"/>
    <b v="0"/>
    <n v="0"/>
    <n v="0"/>
    <m/>
    <d v="2018-01-29T00:00:00"/>
    <n v="32127162"/>
    <d v="2016-09-16T00:00:00"/>
    <m/>
    <m/>
    <s v=""/>
    <b v="0"/>
    <m/>
    <m/>
    <d v="2016-09-15T00:00:00"/>
    <m/>
    <n v="791522"/>
    <b v="1"/>
    <m/>
    <m/>
    <m/>
    <x v="0"/>
    <b v="1"/>
    <n v="34514578"/>
    <s v=""/>
    <s v="Meridian RX"/>
    <s v="NextLevel Health"/>
    <s v=""/>
    <s v=""/>
    <s v="James.Cowhy@meridianrx.com"/>
    <s v="313-324-3700"/>
    <s v=""/>
    <s v=""/>
    <s v=""/>
    <s v=""/>
    <s v=""/>
    <s v=""/>
    <s v=""/>
    <s v=""/>
    <s v=""/>
    <s v=""/>
    <s v=""/>
    <s v=""/>
    <s v=""/>
    <s v=""/>
    <s v=""/>
    <s v="371616Newsletter Recipient"/>
    <m/>
    <x v="0"/>
  </r>
  <r>
    <n v="44035463"/>
    <b v="0"/>
    <b v="0"/>
    <b v="0"/>
    <b v="1"/>
    <b v="0"/>
    <b v="1"/>
    <b v="1"/>
    <b v="0"/>
    <b v="0"/>
    <n v="0"/>
    <n v="0"/>
    <m/>
    <d v="2018-03-02T00:00:00"/>
    <n v="32127162"/>
    <d v="2018-03-02T00:00:00"/>
    <m/>
    <m/>
    <s v=""/>
    <b v="0"/>
    <m/>
    <m/>
    <d v="2018-03-02T00:00:00"/>
    <m/>
    <n v="791522"/>
    <b v="1"/>
    <m/>
    <d v="2018-03-02T00:00:00"/>
    <m/>
    <x v="0"/>
    <b v="1"/>
    <n v="44035463"/>
    <s v=""/>
    <s v="MeridianHealth Care Coordination"/>
    <s v="Meridian Health Plan"/>
    <s v=""/>
    <s v=""/>
    <s v="ltss@mhplan.com"/>
    <s v=""/>
    <s v=""/>
    <s v=""/>
    <s v=""/>
    <s v=""/>
    <s v=""/>
    <s v=""/>
    <s v=""/>
    <s v=""/>
    <s v=""/>
    <s v=""/>
    <s v=""/>
    <s v=""/>
    <s v=""/>
    <s v=""/>
    <s v=""/>
    <s v="336131Children's Services - Care Coordination, 420925Community Mental Health - Care Coordination, 420928Dental - Care Coordination, 420931Durable Medical Equipment - Care Coordination, 420934FQHC - Care Coordination, 420937Home Health - Care Coordination, 420940Hospice - Care Coordination, 420943Hospitals - Care Coordination, 420946Mental Health - Care Coordination, 420949Methadone Treatment - Care Coordination, 420952Physicians - Care Coordination, 420955Public Health Department - Care Coordination, 420962Substance Use Disorder - Care Coordination, 420965Vision - Care Coordination, 420969Transportation - Care Coordination, 420972Pharmacy/Pharmaceuticals - Care Coordination, 420989LTC - Care Coordination"/>
    <s v="10633527Care Coordination"/>
    <x v="0"/>
  </r>
  <r>
    <n v="44035836"/>
    <b v="0"/>
    <b v="0"/>
    <b v="0"/>
    <b v="1"/>
    <b v="0"/>
    <b v="1"/>
    <b v="1"/>
    <b v="0"/>
    <b v="0"/>
    <n v="0"/>
    <n v="0"/>
    <m/>
    <d v="2018-03-26T00:00:00"/>
    <n v="32127162"/>
    <d v="2018-03-02T00:00:00"/>
    <m/>
    <m/>
    <s v=""/>
    <b v="0"/>
    <m/>
    <m/>
    <d v="2018-03-02T00:00:00"/>
    <m/>
    <n v="791522"/>
    <b v="1"/>
    <m/>
    <d v="2018-03-02T00:00:00"/>
    <m/>
    <x v="0"/>
    <b v="1"/>
    <n v="44035836"/>
    <s v=""/>
    <s v="MeridianRx Pharmacy IL Help Desk"/>
    <s v="Meridian Health Plan"/>
    <s v=""/>
    <s v=""/>
    <s v=""/>
    <s v="855.580.1688"/>
    <s v=""/>
    <s v=""/>
    <s v=""/>
    <s v=""/>
    <s v=""/>
    <s v=""/>
    <s v=""/>
    <s v=""/>
    <s v=""/>
    <s v=""/>
    <s v=""/>
    <s v=""/>
    <s v=""/>
    <s v=""/>
    <s v=""/>
    <s v="420970Pharmacy/Pharmaceuticals - Contracts, 420971Pharmacy/Pharmaceuticals - Claims &amp; Billing, 420972Pharmacy/Pharmaceuticals - Care Coordination"/>
    <s v="10633525Contracts, 10633526Claims/Billing, 10633527Care Coordination"/>
    <x v="0"/>
  </r>
  <r>
    <n v="38299475"/>
    <b v="0"/>
    <b v="0"/>
    <b v="0"/>
    <b v="1"/>
    <b v="0"/>
    <b v="1"/>
    <b v="1"/>
    <b v="0"/>
    <b v="0"/>
    <n v="0"/>
    <n v="0"/>
    <m/>
    <d v="2018-01-29T00:00:00"/>
    <n v="32127162"/>
    <d v="2017-03-29T00:00:00"/>
    <m/>
    <m/>
    <s v=""/>
    <b v="0"/>
    <m/>
    <m/>
    <d v="2017-03-29T00:00:00"/>
    <m/>
    <n v="791522"/>
    <b v="1"/>
    <m/>
    <m/>
    <m/>
    <x v="0"/>
    <b v="1"/>
    <n v="38299475"/>
    <s v="Cara"/>
    <s v="Milanti"/>
    <s v="Blue Cross Blue Shield"/>
    <s v=""/>
    <s v="Care Coordination"/>
    <s v="Cara_Milianti@bcbsil.com"/>
    <s v="312-653-7521"/>
    <s v=""/>
    <s v=""/>
    <s v=""/>
    <s v=""/>
    <s v=""/>
    <s v=""/>
    <s v=""/>
    <s v=""/>
    <s v=""/>
    <s v=""/>
    <s v=""/>
    <s v=""/>
    <s v=""/>
    <s v=""/>
    <s v=""/>
    <s v="371616Newsletter Recipient, 3767711115 Workgroup"/>
    <m/>
    <x v="0"/>
  </r>
  <r>
    <n v="39537490"/>
    <b v="0"/>
    <b v="0"/>
    <b v="0"/>
    <b v="1"/>
    <b v="0"/>
    <b v="1"/>
    <b v="1"/>
    <b v="0"/>
    <b v="0"/>
    <n v="0"/>
    <n v="0"/>
    <m/>
    <d v="2018-05-09T00:00:00"/>
    <n v="32127162"/>
    <d v="2017-06-28T00:00:00"/>
    <m/>
    <m/>
    <s v=""/>
    <b v="0"/>
    <m/>
    <m/>
    <d v="2017-06-28T00:00:00"/>
    <m/>
    <n v="791522"/>
    <b v="1"/>
    <m/>
    <m/>
    <m/>
    <x v="0"/>
    <b v="1"/>
    <n v="39537490"/>
    <s v="Anxhela"/>
    <s v="Mile"/>
    <s v="IlliniCare Health"/>
    <s v=""/>
    <s v=""/>
    <s v="AMILE@illinicare.com"/>
    <s v="312.597.1697"/>
    <s v=""/>
    <s v=""/>
    <s v=""/>
    <s v=""/>
    <s v=""/>
    <s v=""/>
    <s v=""/>
    <s v=""/>
    <s v=""/>
    <s v=""/>
    <s v=""/>
    <s v=""/>
    <s v=""/>
    <s v=""/>
    <s v=""/>
    <s v="371616Newsletter Recipient, 420987LTC - Contracts, 420988LTC - Claims &amp; Billing, 420989LTC - Care Coordination"/>
    <s v="10633525Contracts, 10633526Claims/Billing, 10633527Care Coordination"/>
    <x v="0"/>
  </r>
  <r>
    <n v="34514505"/>
    <b v="0"/>
    <b v="0"/>
    <b v="0"/>
    <b v="1"/>
    <b v="0"/>
    <b v="1"/>
    <b v="1"/>
    <b v="0"/>
    <b v="0"/>
    <n v="0"/>
    <n v="0"/>
    <m/>
    <d v="2018-02-06T00:00:00"/>
    <n v="32127162"/>
    <d v="2016-09-16T00:00:00"/>
    <m/>
    <m/>
    <s v=""/>
    <b v="0"/>
    <m/>
    <m/>
    <d v="2016-09-15T00:00:00"/>
    <m/>
    <n v="791522"/>
    <b v="1"/>
    <m/>
    <m/>
    <m/>
    <x v="0"/>
    <b v="1"/>
    <n v="34514505"/>
    <s v="Andrew"/>
    <s v="Miller"/>
    <s v="Meridian Health Plan"/>
    <s v=""/>
    <s v="Vice President of Operations - MRx (Corporate)"/>
    <s v="Andrew.Miller@mhplan.com"/>
    <s v="313-324-1805"/>
    <s v=""/>
    <s v=""/>
    <s v=""/>
    <s v=""/>
    <s v=""/>
    <s v=""/>
    <s v=""/>
    <s v=""/>
    <s v=""/>
    <s v=""/>
    <s v=""/>
    <s v=""/>
    <s v=""/>
    <s v=""/>
    <s v=""/>
    <s v="371616Newsletter Recipient, 372314Pharmacy Director, 428788Pharmacy Director Committee"/>
    <m/>
    <x v="0"/>
  </r>
  <r>
    <n v="41378856"/>
    <b v="0"/>
    <b v="0"/>
    <b v="0"/>
    <b v="1"/>
    <b v="0"/>
    <b v="1"/>
    <b v="1"/>
    <b v="0"/>
    <b v="0"/>
    <n v="0"/>
    <n v="0"/>
    <m/>
    <d v="2017-09-05T00:00:00"/>
    <n v="32127162"/>
    <d v="2017-09-05T00:00:00"/>
    <m/>
    <m/>
    <s v=""/>
    <b v="0"/>
    <m/>
    <m/>
    <d v="2017-09-05T00:00:00"/>
    <m/>
    <n v="791522"/>
    <b v="1"/>
    <m/>
    <m/>
    <m/>
    <x v="0"/>
    <b v="1"/>
    <n v="41378856"/>
    <s v="Emily"/>
    <s v="Miller"/>
    <s v="IARF"/>
    <s v=""/>
    <s v=""/>
    <s v="emiller@iarf.org"/>
    <s v=""/>
    <s v=""/>
    <s v=""/>
    <s v=""/>
    <s v=""/>
    <s v=""/>
    <s v=""/>
    <s v=""/>
    <s v=""/>
    <s v=""/>
    <s v=""/>
    <s v=""/>
    <s v=""/>
    <s v=""/>
    <s v=""/>
    <s v=""/>
    <s v="371616Newsletter Recipient"/>
    <m/>
    <x v="0"/>
  </r>
  <r>
    <n v="37822827"/>
    <b v="0"/>
    <b v="0"/>
    <b v="0"/>
    <b v="1"/>
    <b v="0"/>
    <b v="1"/>
    <b v="1"/>
    <b v="0"/>
    <b v="0"/>
    <n v="0"/>
    <n v="0"/>
    <m/>
    <d v="2017-02-24T00:00:00"/>
    <n v="32127162"/>
    <d v="2017-02-24T00:00:00"/>
    <m/>
    <m/>
    <s v=""/>
    <b v="0"/>
    <m/>
    <m/>
    <d v="2017-02-24T00:00:00"/>
    <m/>
    <n v="791522"/>
    <b v="1"/>
    <m/>
    <m/>
    <m/>
    <x v="0"/>
    <b v="1"/>
    <n v="37822827"/>
    <s v="Emily"/>
    <s v="Miller"/>
    <s v="Voices for Illinois Children"/>
    <s v=""/>
    <s v=""/>
    <s v="emiller@voices4kids.org"/>
    <s v=""/>
    <s v=""/>
    <s v=""/>
    <s v=""/>
    <s v=""/>
    <s v=""/>
    <s v=""/>
    <s v=""/>
    <s v=""/>
    <s v=""/>
    <s v=""/>
    <s v=""/>
    <s v=""/>
    <s v=""/>
    <s v=""/>
    <s v=""/>
    <s v="371616Newsletter Recipient"/>
    <m/>
    <x v="0"/>
  </r>
  <r>
    <n v="44027154"/>
    <b v="0"/>
    <b v="0"/>
    <b v="0"/>
    <b v="1"/>
    <b v="0"/>
    <b v="1"/>
    <b v="1"/>
    <b v="0"/>
    <b v="0"/>
    <n v="0"/>
    <n v="0"/>
    <m/>
    <d v="2018-05-09T00:00:00"/>
    <n v="32127162"/>
    <d v="2018-03-02T00:00:00"/>
    <m/>
    <m/>
    <s v=""/>
    <b v="0"/>
    <m/>
    <m/>
    <d v="2018-03-02T00:00:00"/>
    <m/>
    <n v="791522"/>
    <b v="1"/>
    <m/>
    <d v="2018-03-02T00:00:00"/>
    <m/>
    <x v="0"/>
    <b v="1"/>
    <n v="44027154"/>
    <s v="Margarita"/>
    <s v="Milton"/>
    <s v="IlliniCare Health"/>
    <s v=""/>
    <s v=""/>
    <s v="margarita.miltyon@illinicare.com"/>
    <s v="866.329.4701 ext 47217"/>
    <s v=""/>
    <s v=""/>
    <s v=""/>
    <s v=""/>
    <s v=""/>
    <s v=""/>
    <s v=""/>
    <s v=""/>
    <s v=""/>
    <s v=""/>
    <s v=""/>
    <s v=""/>
    <s v=""/>
    <s v=""/>
    <s v=""/>
    <s v="420944Mental Health - Contracts, 420945Mental Health - Claims &amp; Billing, 420946Mental Health - Care Coordination"/>
    <s v="10633525Contracts, 10633526Claims/Billing, 10633527Care Coordination"/>
    <x v="0"/>
  </r>
  <r>
    <n v="46436500"/>
    <b v="0"/>
    <b v="0"/>
    <b v="0"/>
    <b v="1"/>
    <b v="0"/>
    <b v="1"/>
    <b v="1"/>
    <b v="0"/>
    <b v="0"/>
    <n v="0"/>
    <n v="0"/>
    <m/>
    <d v="2018-06-21T00:00:00"/>
    <n v="32127162"/>
    <d v="2018-06-21T00:00:00"/>
    <m/>
    <m/>
    <s v=""/>
    <b v="0"/>
    <m/>
    <m/>
    <d v="2018-06-21T00:00:00"/>
    <m/>
    <n v="791522"/>
    <b v="1"/>
    <m/>
    <d v="2018-06-21T00:00:00"/>
    <m/>
    <x v="0"/>
    <b v="1"/>
    <n v="46436500"/>
    <s v="Celina"/>
    <s v="Mincey"/>
    <s v="Health Services Advisory Group (HSAG)"/>
    <s v=""/>
    <s v=""/>
    <s v="cmincey@hsag.com"/>
    <s v=""/>
    <s v=""/>
    <s v=""/>
    <s v=""/>
    <s v=""/>
    <s v=""/>
    <s v=""/>
    <s v="Health Services Advisory Group (HSAG)"/>
    <s v=""/>
    <s v=""/>
    <s v=""/>
    <s v=""/>
    <s v=""/>
    <s v=""/>
    <s v=""/>
    <s v=""/>
    <s v="371616Newsletter Recipient"/>
    <m/>
    <x v="0"/>
  </r>
  <r>
    <n v="34021493"/>
    <b v="0"/>
    <b v="0"/>
    <b v="0"/>
    <b v="1"/>
    <b v="0"/>
    <b v="1"/>
    <b v="1"/>
    <b v="0"/>
    <b v="0"/>
    <n v="0"/>
    <n v="0"/>
    <m/>
    <d v="2018-05-29T00:00:00"/>
    <n v="32127162"/>
    <d v="2016-08-22T00:00:00"/>
    <m/>
    <m/>
    <s v=""/>
    <b v="0"/>
    <m/>
    <m/>
    <d v="2016-08-22T00:00:00"/>
    <m/>
    <n v="791522"/>
    <b v="1"/>
    <m/>
    <m/>
    <m/>
    <x v="0"/>
    <b v="1"/>
    <n v="34021493"/>
    <s v="Laura"/>
    <s v="Minzer"/>
    <s v="Blue Cross Blue Shield of Illinois"/>
    <s v=""/>
    <s v=""/>
    <s v="Laura_B_Minzer@bcbsil.com"/>
    <s v="217-836-1693"/>
    <s v=""/>
    <s v=""/>
    <s v=""/>
    <s v=""/>
    <s v=""/>
    <s v=""/>
    <s v=""/>
    <s v=""/>
    <s v=""/>
    <s v=""/>
    <s v=""/>
    <s v=""/>
    <s v=""/>
    <s v=""/>
    <s v=""/>
    <s v="335736Provider Relations - Committee Members, 371616Newsletter Recipient, 372294Finance Committee, 372295Board of Directors/General Distribution List, 372296Legislative Committee, 372297Operations Committee, 372306Marketing Committee, 372312IHA-IAMHP Working Group, 3767711115 Workgroup, 428250Hospital Assessment, 447857HFS Ops Workgroup"/>
    <m/>
    <x v="0"/>
  </r>
  <r>
    <n v="41057007"/>
    <b v="0"/>
    <b v="0"/>
    <b v="1"/>
    <b v="1"/>
    <b v="0"/>
    <b v="1"/>
    <b v="1"/>
    <b v="0"/>
    <b v="0"/>
    <n v="0"/>
    <n v="0"/>
    <m/>
    <d v="2017-08-21T00:00:00"/>
    <n v="32127162"/>
    <d v="2017-08-18T00:00:00"/>
    <m/>
    <m/>
    <s v=""/>
    <b v="0"/>
    <m/>
    <m/>
    <d v="2017-08-21T00:00:00"/>
    <m/>
    <n v="791522"/>
    <b v="1"/>
    <m/>
    <m/>
    <m/>
    <x v="0"/>
    <b v="1"/>
    <n v="41057007"/>
    <s v="Jill"/>
    <s v="Misra"/>
    <s v="Impact Solutions, Inc."/>
    <s v=""/>
    <s v=""/>
    <s v="jill@impactsolutionscorp.com"/>
    <s v="312-502-8879"/>
    <s v=""/>
    <s v=""/>
    <s v=""/>
    <s v=""/>
    <s v=""/>
    <s v=""/>
    <s v=""/>
    <s v=""/>
    <s v=""/>
    <s v=""/>
    <s v="BEP"/>
    <s v="4355 N Lincoln Avenue, Unit 3"/>
    <s v="Chicago"/>
    <s v="IL"/>
    <s v="60618"/>
    <s v="371616Newsletter Recipient"/>
    <m/>
    <x v="0"/>
  </r>
  <r>
    <n v="37779292"/>
    <b v="0"/>
    <b v="0"/>
    <b v="0"/>
    <b v="1"/>
    <b v="0"/>
    <b v="1"/>
    <b v="1"/>
    <b v="0"/>
    <b v="0"/>
    <n v="0"/>
    <n v="0"/>
    <m/>
    <d v="2017-02-24T00:00:00"/>
    <n v="32127162"/>
    <d v="2017-02-21T00:00:00"/>
    <m/>
    <m/>
    <s v=""/>
    <b v="0"/>
    <m/>
    <m/>
    <d v="2017-02-20T00:00:00"/>
    <m/>
    <n v="791522"/>
    <b v="1"/>
    <m/>
    <m/>
    <m/>
    <x v="0"/>
    <b v="1"/>
    <n v="37779292"/>
    <s v="Bill"/>
    <s v="Mitchell"/>
    <s v="Illinois General Assembly"/>
    <s v=""/>
    <s v="Representative Bill Mitchell (R)_x000a_101st District_x000a_Assistant Republican Leader_x0009__x000a__x000a_Springfield Office:_x000a_632 Capitol Building_x000a_Springfield, IL   62706_x000a_(217) 782-8163_x000a_(217) 557-0571 FAX_x000a__x000a_District Office:_x000a_5130 Hickory Point Frontage Road_x000a_Suite 100_x000a_Decatur, IL  62526_x000a_(217) 876-1968_x000a_(217) 876-1973 FAX"/>
    <s v="repmitchell@earthlink.net"/>
    <s v=""/>
    <s v=""/>
    <s v=""/>
    <s v=""/>
    <s v=""/>
    <s v=""/>
    <s v=""/>
    <s v=""/>
    <s v=""/>
    <s v=""/>
    <s v=""/>
    <s v=""/>
    <s v=""/>
    <s v=""/>
    <s v=""/>
    <s v=""/>
    <s v="371616Newsletter Recipient, 371627House of Representatives"/>
    <m/>
    <x v="0"/>
  </r>
  <r>
    <n v="37779294"/>
    <b v="0"/>
    <b v="0"/>
    <b v="0"/>
    <b v="1"/>
    <b v="0"/>
    <b v="1"/>
    <b v="1"/>
    <b v="0"/>
    <b v="0"/>
    <n v="0"/>
    <n v="0"/>
    <m/>
    <d v="2017-02-24T00:00:00"/>
    <n v="32127162"/>
    <d v="2017-02-21T00:00:00"/>
    <m/>
    <m/>
    <s v=""/>
    <b v="0"/>
    <m/>
    <m/>
    <d v="2017-02-20T00:00:00"/>
    <m/>
    <n v="791522"/>
    <b v="1"/>
    <m/>
    <m/>
    <m/>
    <x v="0"/>
    <b v="1"/>
    <n v="37779294"/>
    <s v="Christian"/>
    <s v="Mitchell"/>
    <s v="Illinois General Assembly"/>
    <s v=""/>
    <s v="Representative Christian L. Mitchell (D)_x000a_26th District_x0009_ _x0009__x000a__x000a_Springfield Office:_x000a_256-W Stratton Office Building_x000a_Springfield, IL   62706_x000a_(217) 782-2023_x000a_(217) 524-0641 FAX_x000a__x000a_District Office:_x000a_449 E. 35th Street_x000a_Chicago, IL  60616_x000a_(773) 924-1755_x000a_(773) 924-1775 FAX"/>
    <s v="MitchellDistrict26@att.net"/>
    <s v=""/>
    <s v=""/>
    <s v=""/>
    <s v=""/>
    <s v=""/>
    <s v=""/>
    <s v=""/>
    <s v=""/>
    <s v=""/>
    <s v=""/>
    <s v=""/>
    <s v=""/>
    <s v=""/>
    <s v=""/>
    <s v=""/>
    <s v=""/>
    <s v="371616Newsletter Recipient, 371627House of Representatives"/>
    <m/>
    <x v="0"/>
  </r>
  <r>
    <n v="45120153"/>
    <b v="0"/>
    <b v="0"/>
    <b v="0"/>
    <b v="1"/>
    <b v="0"/>
    <b v="1"/>
    <b v="1"/>
    <b v="0"/>
    <b v="0"/>
    <n v="0"/>
    <n v="0"/>
    <m/>
    <d v="2018-05-08T00:00:00"/>
    <n v="32127162"/>
    <d v="2018-05-08T00:00:00"/>
    <m/>
    <m/>
    <s v=""/>
    <b v="0"/>
    <m/>
    <m/>
    <d v="2018-05-08T00:00:00"/>
    <m/>
    <n v="791522"/>
    <b v="1"/>
    <m/>
    <d v="2018-05-08T00:00:00"/>
    <m/>
    <x v="0"/>
    <b v="1"/>
    <n v="45120153"/>
    <s v="Michelle"/>
    <s v="Mittleman Horner"/>
    <s v="Harmony Health Plan of Illinois - A WellCare Company"/>
    <s v=""/>
    <s v=""/>
    <s v="michelle.mittlemanhorner@wellcare.com"/>
    <s v=""/>
    <s v=""/>
    <s v=""/>
    <s v=""/>
    <s v=""/>
    <s v=""/>
    <s v=""/>
    <s v="Harmony Health Plan of Illinois - A WellCare Company"/>
    <s v="VP, Field Network Management"/>
    <s v=""/>
    <s v=""/>
    <s v=""/>
    <s v=""/>
    <s v=""/>
    <s v=""/>
    <s v=""/>
    <s v="335736Provider Relations - Committee Members, 371616Newsletter Recipient"/>
    <m/>
    <x v="0"/>
  </r>
  <r>
    <n v="46436571"/>
    <b v="0"/>
    <b v="0"/>
    <b v="0"/>
    <b v="1"/>
    <b v="0"/>
    <b v="1"/>
    <b v="1"/>
    <b v="0"/>
    <b v="0"/>
    <n v="0"/>
    <n v="0"/>
    <m/>
    <d v="2018-06-21T00:00:00"/>
    <n v="32127162"/>
    <d v="2018-06-21T00:00:00"/>
    <m/>
    <m/>
    <s v=""/>
    <b v="0"/>
    <m/>
    <m/>
    <d v="2018-06-21T00:00:00"/>
    <m/>
    <n v="791522"/>
    <b v="1"/>
    <m/>
    <d v="2018-06-21T00:00:00"/>
    <m/>
    <x v="0"/>
    <b v="1"/>
    <n v="46436571"/>
    <s v="Cathy"/>
    <s v="Moehring"/>
    <s v="Centerstone"/>
    <s v=""/>
    <s v=""/>
    <s v="cathy.moehring@centerstone.org"/>
    <s v=""/>
    <s v=""/>
    <s v=""/>
    <s v=""/>
    <s v=""/>
    <s v=""/>
    <s v=""/>
    <s v="Centerstone"/>
    <s v=""/>
    <s v=""/>
    <s v=""/>
    <s v=""/>
    <s v=""/>
    <s v=""/>
    <s v=""/>
    <s v=""/>
    <s v="371616Newsletter Recipient"/>
    <m/>
    <x v="0"/>
  </r>
  <r>
    <n v="37779301"/>
    <b v="0"/>
    <b v="0"/>
    <b v="0"/>
    <b v="1"/>
    <b v="0"/>
    <b v="1"/>
    <b v="1"/>
    <b v="0"/>
    <b v="0"/>
    <n v="0"/>
    <n v="0"/>
    <m/>
    <d v="2017-02-24T00:00:00"/>
    <n v="32127162"/>
    <d v="2017-02-21T00:00:00"/>
    <m/>
    <m/>
    <s v=""/>
    <b v="0"/>
    <m/>
    <m/>
    <d v="2017-02-20T00:00:00"/>
    <m/>
    <n v="791522"/>
    <b v="1"/>
    <m/>
    <m/>
    <m/>
    <x v="0"/>
    <b v="1"/>
    <n v="37779301"/>
    <s v="Anna"/>
    <s v="Moeller"/>
    <s v="Illinois General Assembly"/>
    <s v=""/>
    <s v="Representative Anna Moeller (D)_x000a_43rd District_x0009_ _x0009__x000a__x000a_Springfield Office:_x000a_235-E Stratton Office Building_x000a_Springfield, IL   62706_x000a_(217) 782-8020_x000a_(217) 557-4459 FAX_x000a__x000a_District Office:_x000a_164 Division Street_x000a_Suite 505_x000a_Elgin, IL  60120_x000a_(847) 841-7130_x000a_(847) 841-7140 FAX"/>
    <s v="staterepmoeller@gmail.com"/>
    <s v=""/>
    <s v=""/>
    <s v=""/>
    <s v=""/>
    <s v=""/>
    <s v=""/>
    <s v=""/>
    <s v=""/>
    <s v=""/>
    <s v=""/>
    <s v=""/>
    <s v=""/>
    <s v=""/>
    <s v=""/>
    <s v=""/>
    <s v=""/>
    <s v="371616Newsletter Recipient, 371627House of Representatives"/>
    <m/>
    <x v="0"/>
  </r>
  <r>
    <n v="42754936"/>
    <b v="0"/>
    <b v="0"/>
    <b v="0"/>
    <b v="1"/>
    <b v="0"/>
    <b v="1"/>
    <b v="1"/>
    <b v="0"/>
    <b v="0"/>
    <n v="0"/>
    <n v="0"/>
    <m/>
    <d v="2018-04-05T00:00:00"/>
    <n v="32127162"/>
    <d v="2017-11-28T00:00:00"/>
    <m/>
    <m/>
    <s v=""/>
    <b v="0"/>
    <m/>
    <m/>
    <d v="2017-11-27T00:00:00"/>
    <m/>
    <n v="791522"/>
    <b v="1"/>
    <m/>
    <d v="2017-11-28T00:00:00"/>
    <m/>
    <x v="0"/>
    <b v="1"/>
    <n v="42754936"/>
    <s v="Sharon"/>
    <s v="Moloney"/>
    <s v="Molina Healthcare of Illinois, Inc."/>
    <s v=""/>
    <s v=""/>
    <s v="sharon.moloney@molinahealthcare.com"/>
    <s v=""/>
    <s v=""/>
    <s v=""/>
    <s v=""/>
    <s v=""/>
    <s v=""/>
    <s v=""/>
    <s v="Molina Healthcare of Illinois, Inc."/>
    <s v=""/>
    <s v=""/>
    <s v=""/>
    <s v=""/>
    <s v=""/>
    <s v=""/>
    <s v=""/>
    <s v=""/>
    <s v="371616Newsletter Recipient, 420938Hospice - Contracts, 420939Hospice - Claims &amp; Billing, 420940Hospice - Care Coordination, 420987LTC - Contracts, 420988LTC - Claims &amp; Billing, 420989LTC - Care Coordination"/>
    <s v="10633525Contracts, 10633526Claims/Billing, 10633527Care Coordination"/>
    <x v="0"/>
  </r>
  <r>
    <n v="39537476"/>
    <b v="0"/>
    <b v="0"/>
    <b v="0"/>
    <b v="1"/>
    <b v="0"/>
    <b v="1"/>
    <b v="1"/>
    <b v="0"/>
    <b v="0"/>
    <n v="0"/>
    <n v="0"/>
    <m/>
    <d v="2018-03-02T00:00:00"/>
    <n v="32127162"/>
    <d v="2017-06-28T00:00:00"/>
    <m/>
    <m/>
    <s v=""/>
    <b v="0"/>
    <m/>
    <m/>
    <d v="2017-06-28T00:00:00"/>
    <m/>
    <n v="791522"/>
    <b v="1"/>
    <m/>
    <m/>
    <m/>
    <x v="0"/>
    <b v="1"/>
    <n v="39537476"/>
    <s v="Lupita"/>
    <s v="Monroy"/>
    <s v="IlliniCare Health"/>
    <s v=""/>
    <s v=""/>
    <s v="Lupita.Monroy@illinicare.com"/>
    <s v="866-329-4701 ext 47618"/>
    <s v=""/>
    <s v=""/>
    <s v=""/>
    <s v=""/>
    <s v=""/>
    <s v=""/>
    <s v=""/>
    <s v=""/>
    <s v=""/>
    <s v=""/>
    <s v=""/>
    <s v=""/>
    <s v=""/>
    <s v=""/>
    <s v=""/>
    <s v="371616Newsletter Recipient"/>
    <m/>
    <x v="0"/>
  </r>
  <r>
    <n v="39537498"/>
    <b v="0"/>
    <b v="0"/>
    <b v="0"/>
    <b v="1"/>
    <b v="0"/>
    <b v="1"/>
    <b v="1"/>
    <b v="0"/>
    <b v="0"/>
    <n v="0"/>
    <n v="0"/>
    <m/>
    <d v="2018-03-02T00:00:00"/>
    <n v="32127162"/>
    <d v="2017-06-28T00:00:00"/>
    <m/>
    <m/>
    <s v=""/>
    <b v="0"/>
    <m/>
    <m/>
    <d v="2017-06-28T00:00:00"/>
    <m/>
    <n v="791522"/>
    <b v="1"/>
    <m/>
    <m/>
    <m/>
    <x v="0"/>
    <b v="1"/>
    <n v="39537498"/>
    <s v="Luis"/>
    <s v="Montalvo"/>
    <s v="IlliniCare Health"/>
    <s v=""/>
    <s v=""/>
    <s v="Luis.A.Montalvo@illinicare.com"/>
    <s v="866-329-4701 ext 47203"/>
    <s v=""/>
    <s v=""/>
    <s v=""/>
    <s v=""/>
    <s v=""/>
    <s v=""/>
    <s v=""/>
    <s v="Supervisor"/>
    <s v=""/>
    <s v=""/>
    <s v=""/>
    <s v=""/>
    <s v=""/>
    <s v=""/>
    <s v=""/>
    <s v="371616Newsletter Recipient"/>
    <m/>
    <x v="0"/>
  </r>
  <r>
    <n v="37819847"/>
    <b v="0"/>
    <b v="0"/>
    <b v="0"/>
    <b v="1"/>
    <b v="0"/>
    <b v="1"/>
    <b v="1"/>
    <b v="0"/>
    <b v="0"/>
    <n v="0"/>
    <n v="0"/>
    <m/>
    <d v="2018-01-12T00:00:00"/>
    <n v="32127162"/>
    <d v="2017-02-24T00:00:00"/>
    <m/>
    <m/>
    <s v=""/>
    <b v="0"/>
    <m/>
    <m/>
    <d v="2017-02-24T00:00:00"/>
    <m/>
    <n v="791522"/>
    <b v="1"/>
    <m/>
    <m/>
    <m/>
    <x v="0"/>
    <b v="1"/>
    <n v="37819847"/>
    <s v="Chris"/>
    <s v="Montcalm"/>
    <s v="Family Health Network"/>
    <s v=""/>
    <s v=""/>
    <s v="cmontcalm@myfhn.com"/>
    <s v=""/>
    <s v=""/>
    <s v=""/>
    <s v=""/>
    <s v=""/>
    <s v=""/>
    <s v=""/>
    <s v=""/>
    <s v=""/>
    <s v=""/>
    <s v=""/>
    <s v=""/>
    <s v=""/>
    <s v=""/>
    <s v=""/>
    <s v=""/>
    <m/>
    <m/>
    <x v="0"/>
  </r>
  <r>
    <n v="43835550"/>
    <b v="0"/>
    <b v="0"/>
    <b v="0"/>
    <b v="1"/>
    <b v="0"/>
    <b v="1"/>
    <b v="1"/>
    <b v="0"/>
    <b v="0"/>
    <n v="0"/>
    <n v="0"/>
    <m/>
    <d v="2018-02-19T00:00:00"/>
    <n v="32127162"/>
    <d v="2018-02-19T00:00:00"/>
    <m/>
    <m/>
    <s v=""/>
    <b v="0"/>
    <m/>
    <m/>
    <d v="2018-02-19T00:00:00"/>
    <m/>
    <n v="791522"/>
    <b v="1"/>
    <m/>
    <d v="2018-02-19T00:00:00"/>
    <m/>
    <x v="0"/>
    <b v="1"/>
    <n v="43835550"/>
    <s v="Conny"/>
    <s v="Moody"/>
    <s v="Illinois Department of Public Health"/>
    <s v=""/>
    <s v=""/>
    <s v="conny.moody@illinois.gov"/>
    <s v=""/>
    <s v=""/>
    <s v=""/>
    <s v=""/>
    <s v=""/>
    <s v=""/>
    <s v=""/>
    <s v=""/>
    <s v=""/>
    <s v=""/>
    <s v=""/>
    <s v=""/>
    <s v=""/>
    <s v=""/>
    <s v=""/>
    <s v=""/>
    <s v="371616Newsletter Recipient"/>
    <m/>
    <x v="0"/>
  </r>
  <r>
    <n v="44047379"/>
    <b v="0"/>
    <b v="0"/>
    <b v="0"/>
    <b v="1"/>
    <b v="0"/>
    <b v="1"/>
    <b v="1"/>
    <b v="0"/>
    <b v="0"/>
    <n v="0"/>
    <n v="0"/>
    <m/>
    <d v="2018-03-02T00:00:00"/>
    <n v="32127162"/>
    <d v="2018-03-02T00:00:00"/>
    <m/>
    <m/>
    <s v=""/>
    <b v="0"/>
    <m/>
    <m/>
    <d v="2018-03-02T00:00:00"/>
    <m/>
    <n v="791522"/>
    <b v="1"/>
    <m/>
    <d v="2018-03-02T00:00:00"/>
    <m/>
    <x v="0"/>
    <b v="1"/>
    <n v="44047379"/>
    <s v="Deanna"/>
    <s v="Mool"/>
    <s v="Heyl Royster"/>
    <s v=""/>
    <s v=""/>
    <s v="dmool@heylroyster.com"/>
    <s v=""/>
    <s v=""/>
    <s v=""/>
    <s v=""/>
    <s v=""/>
    <s v=""/>
    <s v=""/>
    <s v=""/>
    <s v=""/>
    <s v=""/>
    <s v=""/>
    <s v=""/>
    <s v=""/>
    <s v=""/>
    <s v=""/>
    <s v=""/>
    <s v="371616Newsletter Recipient"/>
    <m/>
    <x v="0"/>
  </r>
  <r>
    <n v="41154970"/>
    <b v="0"/>
    <b v="0"/>
    <b v="0"/>
    <b v="1"/>
    <b v="0"/>
    <b v="1"/>
    <b v="1"/>
    <b v="0"/>
    <b v="0"/>
    <n v="0"/>
    <n v="0"/>
    <m/>
    <d v="2018-02-12T00:00:00"/>
    <n v="32127162"/>
    <d v="2017-08-23T00:00:00"/>
    <m/>
    <m/>
    <s v=""/>
    <b v="0"/>
    <m/>
    <m/>
    <d v="2017-08-23T00:00:00"/>
    <m/>
    <n v="791522"/>
    <b v="1"/>
    <m/>
    <m/>
    <m/>
    <x v="0"/>
    <b v="1"/>
    <n v="41154970"/>
    <s v="Katrina"/>
    <s v="Moore"/>
    <s v="Illinois Association of Medicaid Health Plans (IAMHP)"/>
    <s v=""/>
    <s v=""/>
    <s v="katrina@iamhpteam.org"/>
    <s v=""/>
    <s v=""/>
    <s v=""/>
    <s v="moore.katrina@gmail.com"/>
    <s v=""/>
    <s v=""/>
    <s v=""/>
    <s v=""/>
    <s v=""/>
    <s v=""/>
    <s v=""/>
    <s v=""/>
    <s v=""/>
    <s v=""/>
    <s v=""/>
    <s v=""/>
    <s v="371616Newsletter Recipient, 372293Quality Committee, 372295Board of Directors/General Distribution List, 405964IAMHP Staff"/>
    <m/>
    <x v="0"/>
  </r>
  <r>
    <n v="43298310"/>
    <b v="0"/>
    <b v="0"/>
    <b v="0"/>
    <b v="1"/>
    <b v="0"/>
    <b v="1"/>
    <b v="1"/>
    <b v="0"/>
    <b v="0"/>
    <n v="0"/>
    <n v="0"/>
    <m/>
    <d v="2018-02-12T00:00:00"/>
    <n v="32127162"/>
    <d v="2018-01-17T00:00:00"/>
    <m/>
    <m/>
    <s v=""/>
    <b v="0"/>
    <m/>
    <m/>
    <d v="2018-01-17T00:00:00"/>
    <m/>
    <n v="791522"/>
    <b v="1"/>
    <m/>
    <d v="2018-01-17T00:00:00"/>
    <m/>
    <x v="0"/>
    <b v="1"/>
    <n v="43298310"/>
    <s v="Rose"/>
    <s v="Moore"/>
    <s v="Mercy Health Rockford"/>
    <s v=""/>
    <s v=""/>
    <s v="rmoore@mhemail.org"/>
    <s v=""/>
    <s v=""/>
    <s v=""/>
    <s v=""/>
    <s v=""/>
    <s v=""/>
    <s v=""/>
    <s v=""/>
    <s v=""/>
    <s v=""/>
    <s v=""/>
    <s v=""/>
    <s v=""/>
    <s v=""/>
    <s v=""/>
    <s v=""/>
    <s v="371616Newsletter Recipient"/>
    <m/>
    <x v="0"/>
  </r>
  <r>
    <n v="43488659"/>
    <b v="0"/>
    <b v="0"/>
    <b v="0"/>
    <b v="1"/>
    <b v="0"/>
    <b v="1"/>
    <b v="1"/>
    <b v="0"/>
    <b v="0"/>
    <n v="0"/>
    <n v="0"/>
    <m/>
    <d v="2018-06-22T00:00:00"/>
    <n v="32127162"/>
    <d v="2018-01-29T00:00:00"/>
    <m/>
    <m/>
    <s v=""/>
    <b v="0"/>
    <m/>
    <m/>
    <d v="2018-01-28T00:00:00"/>
    <m/>
    <n v="791522"/>
    <b v="1"/>
    <m/>
    <d v="2018-01-29T00:00:00"/>
    <m/>
    <x v="0"/>
    <b v="1"/>
    <n v="43488659"/>
    <s v="Vivian"/>
    <s v="Moore"/>
    <s v="NextLevel Health"/>
    <s v=""/>
    <s v=""/>
    <s v="vivian.moore@nlhpartners.com"/>
    <s v="(312) 300-5780"/>
    <s v=""/>
    <s v=""/>
    <s v=""/>
    <s v=""/>
    <s v=""/>
    <s v=""/>
    <s v=""/>
    <s v=""/>
    <s v=""/>
    <s v=""/>
    <s v=""/>
    <s v=""/>
    <s v=""/>
    <s v=""/>
    <s v=""/>
    <s v="371616Newsletter Recipient"/>
    <m/>
    <x v="0"/>
  </r>
  <r>
    <n v="46435905"/>
    <b v="0"/>
    <b v="0"/>
    <b v="0"/>
    <b v="1"/>
    <b v="0"/>
    <b v="1"/>
    <b v="1"/>
    <b v="0"/>
    <b v="0"/>
    <n v="0"/>
    <n v="0"/>
    <m/>
    <d v="2018-06-21T00:00:00"/>
    <n v="32127162"/>
    <d v="2018-06-21T00:00:00"/>
    <m/>
    <m/>
    <s v=""/>
    <b v="0"/>
    <m/>
    <m/>
    <d v="2018-06-21T00:00:00"/>
    <m/>
    <n v="791522"/>
    <b v="1"/>
    <m/>
    <d v="2018-06-21T00:00:00"/>
    <m/>
    <x v="0"/>
    <b v="1"/>
    <n v="46435905"/>
    <s v="Charlotte"/>
    <s v="Morris"/>
    <s v="Transitions Hospice"/>
    <s v=""/>
    <s v=""/>
    <s v="cmorris@axis-management.com"/>
    <s v=""/>
    <s v=""/>
    <s v=""/>
    <s v=""/>
    <s v=""/>
    <s v=""/>
    <s v=""/>
    <s v="Transitions Hospice"/>
    <s v=""/>
    <s v=""/>
    <s v=""/>
    <s v=""/>
    <s v=""/>
    <s v=""/>
    <s v=""/>
    <s v=""/>
    <s v="371616Newsletter Recipient"/>
    <m/>
    <x v="0"/>
  </r>
  <r>
    <n v="43669424"/>
    <b v="0"/>
    <b v="0"/>
    <b v="0"/>
    <b v="1"/>
    <b v="0"/>
    <b v="1"/>
    <b v="1"/>
    <b v="0"/>
    <b v="0"/>
    <n v="0"/>
    <n v="0"/>
    <m/>
    <d v="2018-02-12T00:00:00"/>
    <n v="32127162"/>
    <d v="2018-02-08T00:00:00"/>
    <m/>
    <m/>
    <s v=""/>
    <b v="0"/>
    <m/>
    <m/>
    <d v="2018-02-07T00:00:00"/>
    <m/>
    <n v="791522"/>
    <b v="1"/>
    <m/>
    <d v="2018-02-08T00:00:00"/>
    <m/>
    <x v="0"/>
    <b v="1"/>
    <n v="43669424"/>
    <s v="Francie"/>
    <s v="Morris"/>
    <s v="IlliniCare Health"/>
    <s v=""/>
    <s v=""/>
    <s v="frances.morris@illinicare.com"/>
    <s v=""/>
    <s v=""/>
    <s v=""/>
    <s v=""/>
    <s v=""/>
    <s v=""/>
    <s v=""/>
    <s v=""/>
    <s v="Vice President, Quality Improvement"/>
    <s v=""/>
    <s v=""/>
    <s v=""/>
    <s v=""/>
    <s v=""/>
    <s v=""/>
    <s v=""/>
    <s v="371616Newsletter Recipient, 372293Quality Committee"/>
    <m/>
    <x v="0"/>
  </r>
  <r>
    <n v="37770643"/>
    <b v="0"/>
    <b v="0"/>
    <b v="0"/>
    <b v="1"/>
    <b v="0"/>
    <b v="1"/>
    <b v="0"/>
    <b v="0"/>
    <b v="0"/>
    <n v="0"/>
    <n v="0"/>
    <m/>
    <d v="2017-02-24T00:00:00"/>
    <n v="32127162"/>
    <d v="2017-02-20T00:00:00"/>
    <m/>
    <m/>
    <s v=""/>
    <b v="0"/>
    <m/>
    <m/>
    <d v="2017-02-20T00:00:00"/>
    <m/>
    <n v="791522"/>
    <b v="1"/>
    <m/>
    <m/>
    <m/>
    <x v="0"/>
    <b v="1"/>
    <n v="37770643"/>
    <s v="Julie"/>
    <s v="Morrison"/>
    <s v="Illinois General Assembly"/>
    <s v="Senator"/>
    <s v="Senator Julie A. Morrison (D)_x000a_29th District_x0009_ _x0009__x000a__x000a_Springfield Office:_x000a_Senator 29th District_x000a_M115 Capitol Building_x000a_Springfield, IL   62706_x000a_(217) 782-3650_x000a_ _x000a_District Office:_x000a_700 Osterman Ave._x000a_Deerfield, IL  60015_x000a_(847) 945-5200_x000a_(847) 945-5214 FAX"/>
    <s v="joseph.a.piasecki@gmail.com"/>
    <s v=""/>
    <s v=""/>
    <s v=""/>
    <s v=""/>
    <s v=""/>
    <s v="(217) 782-3650"/>
    <s v=""/>
    <s v=""/>
    <s v=""/>
    <s v=""/>
    <s v=""/>
    <s v=""/>
    <s v=""/>
    <s v=""/>
    <s v=""/>
    <s v=""/>
    <s v="371609Senator, 371616Newsletter Recipient"/>
    <m/>
    <x v="0"/>
  </r>
  <r>
    <n v="37779303"/>
    <b v="0"/>
    <b v="0"/>
    <b v="0"/>
    <b v="1"/>
    <b v="0"/>
    <b v="1"/>
    <b v="1"/>
    <b v="0"/>
    <b v="0"/>
    <n v="0"/>
    <n v="0"/>
    <m/>
    <d v="2017-02-24T00:00:00"/>
    <n v="32127162"/>
    <d v="2017-02-21T00:00:00"/>
    <m/>
    <m/>
    <s v=""/>
    <b v="0"/>
    <m/>
    <m/>
    <d v="2017-02-20T00:00:00"/>
    <m/>
    <n v="791522"/>
    <b v="1"/>
    <m/>
    <m/>
    <m/>
    <x v="0"/>
    <b v="1"/>
    <n v="37779303"/>
    <s v="Thomas"/>
    <s v="Morrison"/>
    <s v="Illinois General Assembly"/>
    <s v=""/>
    <s v="Representative Thomas Morrison (R)_x000a_54th District_x0009_ _x0009__x000a__x000a_Springfield Office:_x000a_234-N Stratton Office Building_x000a_Springfield, IL   62706_x000a_(217) 782-8026_x000a_(217) 782-1275 FAX_x000a__x000a_District Office:_x000a_117 East Palatine Road_x000a_Suite 106_x000a_Palatine, IL  60067_x000a_(847) 202-6584"/>
    <s v="Repmorrison54@gmail.com"/>
    <s v=""/>
    <s v=""/>
    <s v=""/>
    <s v=""/>
    <s v=""/>
    <s v=""/>
    <s v=""/>
    <s v=""/>
    <s v=""/>
    <s v=""/>
    <s v=""/>
    <s v=""/>
    <s v=""/>
    <s v=""/>
    <s v=""/>
    <s v=""/>
    <s v="371616Newsletter Recipient, 371627House of Representatives"/>
    <m/>
    <x v="0"/>
  </r>
  <r>
    <n v="34022362"/>
    <b v="0"/>
    <b v="0"/>
    <b v="0"/>
    <b v="1"/>
    <b v="0"/>
    <b v="1"/>
    <b v="1"/>
    <b v="0"/>
    <b v="0"/>
    <n v="0"/>
    <n v="0"/>
    <m/>
    <d v="2018-05-29T00:00:00"/>
    <n v="32127162"/>
    <d v="2016-08-22T00:00:00"/>
    <m/>
    <m/>
    <s v=""/>
    <b v="0"/>
    <m/>
    <m/>
    <d v="2016-08-22T00:00:00"/>
    <m/>
    <n v="791522"/>
    <b v="1"/>
    <m/>
    <m/>
    <m/>
    <x v="0"/>
    <b v="1"/>
    <n v="34022362"/>
    <s v="Justine"/>
    <s v="Morton"/>
    <s v="CountyCare Health Plan"/>
    <s v=""/>
    <s v=""/>
    <s v="JMorton@cookcountyhhs.org"/>
    <s v="312-864-1165"/>
    <s v=""/>
    <s v=""/>
    <s v=""/>
    <s v=""/>
    <s v=""/>
    <s v=""/>
    <s v=""/>
    <s v=""/>
    <s v=""/>
    <s v=""/>
    <s v=""/>
    <s v=""/>
    <s v=""/>
    <s v=""/>
    <s v=""/>
    <s v="335745Quality Directors, 371616Newsletter Recipient, 372293Quality Committee"/>
    <m/>
    <x v="0"/>
  </r>
  <r>
    <n v="43732153"/>
    <b v="0"/>
    <b v="0"/>
    <b v="0"/>
    <b v="1"/>
    <b v="0"/>
    <b v="1"/>
    <b v="1"/>
    <b v="0"/>
    <b v="0"/>
    <n v="0"/>
    <n v="0"/>
    <m/>
    <d v="2018-02-12T00:00:00"/>
    <n v="32127162"/>
    <d v="2018-02-12T00:00:00"/>
    <m/>
    <m/>
    <s v=""/>
    <b v="0"/>
    <m/>
    <m/>
    <d v="2018-02-12T00:00:00"/>
    <m/>
    <n v="791522"/>
    <b v="1"/>
    <m/>
    <d v="2018-02-12T00:00:00"/>
    <m/>
    <x v="0"/>
    <b v="1"/>
    <n v="43732153"/>
    <s v="Stephanie"/>
    <s v="Moseman"/>
    <s v="IPHA"/>
    <s v=""/>
    <s v=""/>
    <s v="stephm1724@sbcglobal.net"/>
    <s v=""/>
    <s v=""/>
    <s v=""/>
    <s v=""/>
    <s v=""/>
    <s v=""/>
    <s v=""/>
    <s v=""/>
    <s v=""/>
    <s v=""/>
    <s v=""/>
    <s v=""/>
    <s v=""/>
    <s v=""/>
    <s v=""/>
    <s v=""/>
    <s v="371616Newsletter Recipient"/>
    <m/>
    <x v="0"/>
  </r>
  <r>
    <n v="37819849"/>
    <b v="0"/>
    <b v="0"/>
    <b v="0"/>
    <b v="1"/>
    <b v="0"/>
    <b v="1"/>
    <b v="1"/>
    <b v="0"/>
    <b v="0"/>
    <n v="0"/>
    <n v="0"/>
    <m/>
    <d v="2017-02-24T00:00:00"/>
    <n v="32127162"/>
    <d v="2017-02-24T00:00:00"/>
    <m/>
    <m/>
    <s v=""/>
    <b v="0"/>
    <m/>
    <m/>
    <d v="2017-02-24T00:00:00"/>
    <m/>
    <n v="791522"/>
    <b v="1"/>
    <m/>
    <m/>
    <m/>
    <x v="0"/>
    <b v="1"/>
    <n v="37819849"/>
    <s v="Steve"/>
    <s v="Moskals"/>
    <s v="Aetna Better Health of Illinois"/>
    <s v=""/>
    <s v=""/>
    <s v="moskals@aetna.com"/>
    <s v=""/>
    <s v=""/>
    <s v=""/>
    <s v=""/>
    <s v=""/>
    <s v=""/>
    <s v=""/>
    <s v=""/>
    <s v=""/>
    <s v=""/>
    <s v=""/>
    <s v=""/>
    <s v=""/>
    <s v=""/>
    <s v=""/>
    <s v=""/>
    <s v="371616Newsletter Recipient, 372306Marketing Committee"/>
    <m/>
    <x v="0"/>
  </r>
  <r>
    <n v="44637055"/>
    <b v="0"/>
    <b v="0"/>
    <b v="0"/>
    <b v="1"/>
    <b v="0"/>
    <b v="1"/>
    <b v="1"/>
    <b v="0"/>
    <b v="0"/>
    <n v="0"/>
    <n v="0"/>
    <m/>
    <d v="2018-04-12T00:00:00"/>
    <n v="32127162"/>
    <d v="2018-04-12T00:00:00"/>
    <m/>
    <m/>
    <s v=""/>
    <b v="0"/>
    <m/>
    <m/>
    <d v="2018-04-12T00:00:00"/>
    <m/>
    <n v="791522"/>
    <b v="1"/>
    <m/>
    <d v="2018-04-12T00:00:00"/>
    <m/>
    <x v="0"/>
    <b v="1"/>
    <n v="44637055"/>
    <s v="MaryCarol"/>
    <s v="Moss"/>
    <s v="Humana"/>
    <s v=""/>
    <s v=""/>
    <s v="mmoss8@humana.com"/>
    <s v=""/>
    <s v=""/>
    <s v=""/>
    <s v=""/>
    <s v=""/>
    <s v=""/>
    <s v=""/>
    <s v=""/>
    <s v=""/>
    <s v=""/>
    <s v=""/>
    <s v=""/>
    <s v=""/>
    <s v=""/>
    <s v=""/>
    <s v=""/>
    <s v="420963Vision - Contracts, 420964Vision - Claims &amp; Billing, 420965Vision - Care Coordination"/>
    <s v="10633525Contracts, 10633526Claims/Billing, 10633527Care Coordination"/>
    <x v="0"/>
  </r>
  <r>
    <n v="37779309"/>
    <b v="0"/>
    <b v="0"/>
    <b v="0"/>
    <b v="1"/>
    <b v="0"/>
    <b v="1"/>
    <b v="1"/>
    <b v="0"/>
    <b v="0"/>
    <n v="0"/>
    <n v="0"/>
    <m/>
    <d v="2017-02-24T00:00:00"/>
    <n v="32127162"/>
    <d v="2017-02-21T00:00:00"/>
    <m/>
    <m/>
    <s v=""/>
    <b v="0"/>
    <m/>
    <m/>
    <d v="2017-02-20T00:00:00"/>
    <m/>
    <n v="791522"/>
    <b v="1"/>
    <m/>
    <m/>
    <m/>
    <x v="0"/>
    <b v="1"/>
    <n v="37779309"/>
    <s v="Martin"/>
    <s v="Moylan"/>
    <s v="Illinois General Assembly"/>
    <s v=""/>
    <s v="Representative Martin J. Moylan (D)_x000a_55th District _x0009__x000a__x000a_Springfield Office:_x000a_200-3S Stratton Office Building_x000a_Springfield, IL   62706_x000a_(217) 782-8007_x000a__x000a_District Office:_x000a_24 S. Des Plaines River Rd._x000a_Ste. 400_x000a_Des Plaines, IL  60016_x000a_(847) 635-6821_x000a_(847) 635-8565 FAX"/>
    <s v="staterepmoylan@gmail.com"/>
    <s v=""/>
    <s v=""/>
    <s v=""/>
    <s v=""/>
    <s v=""/>
    <s v=""/>
    <s v=""/>
    <s v=""/>
    <s v=""/>
    <s v=""/>
    <s v=""/>
    <s v=""/>
    <s v=""/>
    <s v=""/>
    <s v=""/>
    <s v=""/>
    <s v="371616Newsletter Recipient, 371627House of Representatives"/>
    <m/>
    <x v="0"/>
  </r>
  <r>
    <n v="37822854"/>
    <b v="0"/>
    <b v="0"/>
    <b v="0"/>
    <b v="1"/>
    <b v="0"/>
    <b v="1"/>
    <b v="1"/>
    <b v="0"/>
    <b v="0"/>
    <n v="0"/>
    <n v="0"/>
    <m/>
    <d v="2018-02-12T00:00:00"/>
    <n v="32127162"/>
    <d v="2017-02-24T00:00:00"/>
    <m/>
    <m/>
    <s v=""/>
    <b v="0"/>
    <m/>
    <m/>
    <d v="2017-02-24T00:00:00"/>
    <m/>
    <n v="791522"/>
    <b v="1"/>
    <m/>
    <m/>
    <m/>
    <x v="0"/>
    <b v="1"/>
    <n v="37822854"/>
    <s v="Mark"/>
    <s v="Mroz"/>
    <s v=""/>
    <s v=""/>
    <s v=""/>
    <s v="mmroz@madomanagement.com"/>
    <s v=""/>
    <s v=""/>
    <s v=""/>
    <s v=""/>
    <s v=""/>
    <s v=""/>
    <s v=""/>
    <s v=""/>
    <s v=""/>
    <s v=""/>
    <s v=""/>
    <s v=""/>
    <s v=""/>
    <s v=""/>
    <s v=""/>
    <s v=""/>
    <s v="371616Newsletter Recipient"/>
    <m/>
    <x v="0"/>
  </r>
  <r>
    <n v="37770649"/>
    <b v="0"/>
    <b v="0"/>
    <b v="0"/>
    <b v="1"/>
    <b v="0"/>
    <b v="1"/>
    <b v="1"/>
    <b v="0"/>
    <b v="0"/>
    <n v="0"/>
    <n v="0"/>
    <m/>
    <d v="2017-02-24T00:00:00"/>
    <n v="32127162"/>
    <d v="2017-02-20T00:00:00"/>
    <m/>
    <m/>
    <s v=""/>
    <b v="0"/>
    <m/>
    <m/>
    <d v="2017-02-20T00:00:00"/>
    <m/>
    <n v="791522"/>
    <b v="1"/>
    <m/>
    <m/>
    <m/>
    <x v="0"/>
    <b v="1"/>
    <n v="37770649"/>
    <s v="John"/>
    <s v="Mulroe"/>
    <s v="Illinois General Assembly"/>
    <s v="Senator"/>
    <s v="Senator John G. Mulroe (D)_x000a_10th District_x0009_ _x0009__x000a__x000a_Springfield Office:_x000a_Senator 10th District_x000a_127 Capitol Building_x000a_Springfield, IL   62706_x000a_(217) 782-1035_x000a_(217) 558-6006 FAX_x000a_ _x000a_District Office:_x000a_5940 North Milwaukee Ave._x000a_Suite 100_x000a_Chicago, IL  60646_x000a_(773) 763-3810_x000a_(773) 763-3881 FAX"/>
    <s v=""/>
    <s v=""/>
    <s v="G."/>
    <s v=""/>
    <s v=""/>
    <s v=""/>
    <s v="(217) 782-1035"/>
    <s v=""/>
    <s v=""/>
    <s v=""/>
    <s v=""/>
    <s v=""/>
    <s v=""/>
    <s v=""/>
    <s v=""/>
    <s v=""/>
    <s v=""/>
    <s v="371609Senator, 371616Newsletter Recipient"/>
    <m/>
    <x v="0"/>
  </r>
  <r>
    <n v="37770659"/>
    <b v="0"/>
    <b v="0"/>
    <b v="0"/>
    <b v="1"/>
    <b v="0"/>
    <b v="1"/>
    <b v="1"/>
    <b v="0"/>
    <b v="0"/>
    <n v="0"/>
    <n v="0"/>
    <m/>
    <d v="2017-02-24T00:00:00"/>
    <n v="32127162"/>
    <d v="2017-02-20T00:00:00"/>
    <m/>
    <m/>
    <s v=""/>
    <b v="0"/>
    <m/>
    <m/>
    <d v="2017-02-20T00:00:00"/>
    <m/>
    <n v="791522"/>
    <b v="1"/>
    <m/>
    <m/>
    <m/>
    <x v="0"/>
    <b v="1"/>
    <n v="37770659"/>
    <s v="Antonio"/>
    <s v="Muñoz"/>
    <s v="Illinois General Assembly"/>
    <s v=""/>
    <s v="Senator Antonio Muñoz (D)_x000a_1st District_x000a_Assistant Majority Leader_x0009_ _x0009__x000a__x000a_Springfield Office:_x000a_Senator 1st District_x000a_323A Capitol Building_x000a_Springfield, IL   62706_x000a_(217) 782-9415_x000a_(217) 558-1042 FAX_x000a_ _x000a_District Office:_x000a_1836 West 35th Street_x000a_Chicago, IL  60609_x000a_(773) 869-9050_x000a_(773) 869-9046 FAX"/>
    <s v=""/>
    <s v=""/>
    <s v=""/>
    <s v=""/>
    <s v=""/>
    <s v=""/>
    <s v="(217) 782-9415"/>
    <s v=""/>
    <s v=""/>
    <s v=""/>
    <s v=""/>
    <s v=""/>
    <s v=""/>
    <s v=""/>
    <s v=""/>
    <s v=""/>
    <s v=""/>
    <s v="371609Senator, 371616Newsletter Recipient"/>
    <m/>
    <x v="0"/>
  </r>
  <r>
    <n v="34513426"/>
    <b v="0"/>
    <b v="0"/>
    <b v="0"/>
    <b v="1"/>
    <b v="0"/>
    <b v="1"/>
    <b v="1"/>
    <b v="0"/>
    <b v="0"/>
    <n v="0"/>
    <n v="0"/>
    <m/>
    <d v="2017-06-27T00:00:00"/>
    <n v="32127162"/>
    <d v="2016-09-15T00:00:00"/>
    <m/>
    <m/>
    <s v=""/>
    <b v="0"/>
    <m/>
    <m/>
    <d v="2016-09-15T00:00:00"/>
    <m/>
    <n v="791522"/>
    <b v="1"/>
    <m/>
    <m/>
    <m/>
    <x v="0"/>
    <b v="1"/>
    <n v="34513426"/>
    <s v="Kristin"/>
    <s v="Murphy"/>
    <s v="CountyCare Health Plan"/>
    <s v=""/>
    <s v=""/>
    <s v="KrMurphy@illinicare.com"/>
    <s v="630-655-7876"/>
    <s v=""/>
    <s v=""/>
    <s v=""/>
    <s v=""/>
    <s v=""/>
    <s v=""/>
    <s v=""/>
    <s v=""/>
    <s v=""/>
    <s v=""/>
    <s v=""/>
    <s v=""/>
    <s v=""/>
    <s v=""/>
    <s v=""/>
    <s v="371616Newsletter Recipient"/>
    <m/>
    <x v="0"/>
  </r>
  <r>
    <n v="37770767"/>
    <b v="0"/>
    <b v="0"/>
    <b v="0"/>
    <b v="1"/>
    <b v="0"/>
    <b v="1"/>
    <b v="1"/>
    <b v="0"/>
    <b v="0"/>
    <n v="0"/>
    <n v="0"/>
    <m/>
    <d v="2017-02-24T00:00:00"/>
    <n v="32127162"/>
    <d v="2017-02-20T00:00:00"/>
    <m/>
    <m/>
    <s v=""/>
    <b v="0"/>
    <m/>
    <m/>
    <d v="2017-02-20T00:00:00"/>
    <m/>
    <n v="791522"/>
    <b v="1"/>
    <m/>
    <m/>
    <m/>
    <x v="0"/>
    <b v="1"/>
    <n v="37770767"/>
    <s v="Laura"/>
    <s v="Murphy"/>
    <s v="Illinois General Assembly"/>
    <s v="Senator"/>
    <s v="Senator Laura M. Murphy (D)_x000a_28th District_x0009_ _x0009__x000a__x000a_Springfield Office:_x000a_Senator 28th District_x000a_M118 Capitol Building_x000a_Springfield, IL   62706_x000a_(217) 782-3875_x000a_(217) 558-6006 FAX_x000a_ _x000a_District Office:_x000a_1510 Midway Ct._x000a_Suite E.107_x000a_Elk Grove Village, IL  60007_x000a_(847) 718-1110"/>
    <s v="ksmall@senatedem.ilga.gov"/>
    <s v=""/>
    <s v=""/>
    <s v=""/>
    <s v=""/>
    <s v=""/>
    <s v="(217) 782-3875"/>
    <s v=""/>
    <s v=""/>
    <s v=""/>
    <s v=""/>
    <s v=""/>
    <s v=""/>
    <s v=""/>
    <s v=""/>
    <s v=""/>
    <s v=""/>
    <s v="371609Senator, 371616Newsletter Recipient"/>
    <m/>
    <x v="0"/>
  </r>
  <r>
    <n v="37819856"/>
    <b v="0"/>
    <b v="0"/>
    <b v="0"/>
    <b v="1"/>
    <b v="0"/>
    <b v="1"/>
    <b v="1"/>
    <b v="0"/>
    <b v="0"/>
    <n v="0"/>
    <n v="0"/>
    <m/>
    <d v="2017-02-24T00:00:00"/>
    <n v="32127162"/>
    <d v="2017-02-24T00:00:00"/>
    <m/>
    <m/>
    <s v=""/>
    <b v="0"/>
    <m/>
    <m/>
    <d v="2017-02-24T00:00:00"/>
    <m/>
    <n v="791522"/>
    <b v="1"/>
    <m/>
    <m/>
    <m/>
    <x v="0"/>
    <b v="1"/>
    <n v="37819856"/>
    <s v="Michael"/>
    <s v="Murphy"/>
    <s v=""/>
    <s v=""/>
    <s v=""/>
    <s v="michaelrmurphy@me.com"/>
    <s v=""/>
    <s v=""/>
    <s v=""/>
    <s v=""/>
    <s v=""/>
    <s v=""/>
    <s v=""/>
    <s v=""/>
    <s v=""/>
    <s v=""/>
    <s v=""/>
    <s v=""/>
    <s v=""/>
    <s v=""/>
    <s v=""/>
    <s v=""/>
    <s v="371616Newsletter Recipient, 372296Legislative Committee"/>
    <m/>
    <x v="0"/>
  </r>
  <r>
    <n v="37819858"/>
    <b v="0"/>
    <b v="0"/>
    <b v="0"/>
    <b v="1"/>
    <b v="0"/>
    <b v="1"/>
    <b v="1"/>
    <b v="0"/>
    <b v="0"/>
    <n v="0"/>
    <n v="0"/>
    <m/>
    <d v="2017-02-24T00:00:00"/>
    <n v="32127162"/>
    <d v="2017-02-24T00:00:00"/>
    <m/>
    <m/>
    <s v=""/>
    <b v="0"/>
    <m/>
    <m/>
    <d v="2017-02-24T00:00:00"/>
    <m/>
    <n v="791522"/>
    <b v="1"/>
    <m/>
    <m/>
    <m/>
    <x v="0"/>
    <b v="1"/>
    <n v="37819858"/>
    <s v="Patricia"/>
    <s v="Murray"/>
    <s v="IlliniCare Health"/>
    <s v=""/>
    <s v=""/>
    <s v="pmurray@illinicare.com"/>
    <s v=""/>
    <s v=""/>
    <s v=""/>
    <s v=""/>
    <s v=""/>
    <s v=""/>
    <s v=""/>
    <s v=""/>
    <s v="Acting Chief Financial Officer"/>
    <s v=""/>
    <s v=""/>
    <s v=""/>
    <s v=""/>
    <s v=""/>
    <s v=""/>
    <s v=""/>
    <s v="371616Newsletter Recipient"/>
    <m/>
    <x v="0"/>
  </r>
  <r>
    <n v="34090789"/>
    <b v="0"/>
    <b v="0"/>
    <b v="0"/>
    <b v="1"/>
    <b v="0"/>
    <b v="1"/>
    <b v="1"/>
    <b v="0"/>
    <b v="0"/>
    <n v="0"/>
    <n v="0"/>
    <m/>
    <d v="2018-03-22T00:00:00"/>
    <n v="32127162"/>
    <d v="2016-08-29T00:00:00"/>
    <m/>
    <m/>
    <s v=""/>
    <b v="0"/>
    <m/>
    <m/>
    <d v="2016-08-29T00:00:00"/>
    <m/>
    <n v="791522"/>
    <b v="1"/>
    <m/>
    <m/>
    <m/>
    <x v="0"/>
    <b v="1"/>
    <n v="34090789"/>
    <s v="Jacqleen"/>
    <s v="Musarra"/>
    <s v="Aetna Better Health"/>
    <s v=""/>
    <s v="Manager of Community Relations"/>
    <s v="MusarraJ@aetna.com"/>
    <s v="312-821-0583"/>
    <s v=""/>
    <s v=""/>
    <s v=""/>
    <s v=""/>
    <s v=""/>
    <s v=""/>
    <s v=""/>
    <s v=""/>
    <s v=""/>
    <s v=""/>
    <s v=""/>
    <s v=""/>
    <s v=""/>
    <s v=""/>
    <s v=""/>
    <s v="336131Children's Services - Care Coordination, 371616Newsletter Recipient, 420973Children's Services - Contracts, 420974Children's Services - Claims &amp; Billing"/>
    <s v="10633525Contracts, 10633526Claims/Billing, 10633527Care Coordination"/>
    <x v="0"/>
  </r>
  <r>
    <n v="37779311"/>
    <b v="0"/>
    <b v="0"/>
    <b v="0"/>
    <b v="1"/>
    <b v="0"/>
    <b v="1"/>
    <b v="1"/>
    <b v="0"/>
    <b v="0"/>
    <n v="0"/>
    <n v="0"/>
    <m/>
    <d v="2017-02-24T00:00:00"/>
    <n v="32127162"/>
    <d v="2017-02-21T00:00:00"/>
    <m/>
    <m/>
    <s v=""/>
    <b v="0"/>
    <m/>
    <m/>
    <d v="2017-02-20T00:00:00"/>
    <m/>
    <n v="791522"/>
    <b v="1"/>
    <m/>
    <m/>
    <m/>
    <x v="0"/>
    <b v="1"/>
    <n v="37779311"/>
    <s v="Michelle"/>
    <s v="Mussman"/>
    <s v="Illinois General Assembly"/>
    <s v=""/>
    <s v="Representative Michelle Mussman (D)_x000a_56th District _x0009__x000a__x000a_Springfield Office:_x000a_257-S Stratton Office Building_x000a_Springfield, IL   62706_x000a_(217) 782-3725_x000a__x000a_District Office:_x000a_15 W. Weathersfield Way_x000a_Schaumburg, IL  60193_x000a_(847) 923-9104_x000a_(847) 923-9105 FAX"/>
    <s v="staterepmussman@gmail.com"/>
    <s v=""/>
    <s v=""/>
    <s v=""/>
    <s v=""/>
    <s v=""/>
    <s v=""/>
    <s v=""/>
    <s v=""/>
    <s v=""/>
    <s v=""/>
    <s v=""/>
    <s v=""/>
    <s v=""/>
    <s v=""/>
    <s v=""/>
    <s v=""/>
    <s v="371616Newsletter Recipient, 371627House of Representatives"/>
    <m/>
    <x v="0"/>
  </r>
  <r>
    <n v="37822483"/>
    <b v="0"/>
    <b v="0"/>
    <b v="0"/>
    <b v="1"/>
    <b v="0"/>
    <b v="1"/>
    <b v="1"/>
    <b v="0"/>
    <b v="0"/>
    <n v="0"/>
    <n v="0"/>
    <m/>
    <d v="2017-02-24T00:00:00"/>
    <n v="32127162"/>
    <d v="2017-02-24T00:00:00"/>
    <m/>
    <m/>
    <s v=""/>
    <b v="0"/>
    <m/>
    <m/>
    <d v="2017-02-24T00:00:00"/>
    <m/>
    <n v="791522"/>
    <b v="1"/>
    <m/>
    <m/>
    <m/>
    <x v="0"/>
    <b v="1"/>
    <n v="37822483"/>
    <s v="Assistant for Senator Bill Cunningham"/>
    <s v="N Hill"/>
    <s v="Illinois General Assembly"/>
    <s v=""/>
    <s v=""/>
    <s v="nhill@senatedem.ilga.gov"/>
    <s v=""/>
    <s v=""/>
    <s v=""/>
    <s v=""/>
    <s v=""/>
    <s v=""/>
    <s v=""/>
    <s v=""/>
    <s v=""/>
    <s v=""/>
    <s v=""/>
    <s v=""/>
    <s v=""/>
    <s v=""/>
    <s v=""/>
    <s v=""/>
    <s v="371616Newsletter Recipient, 372319IGA Senate Staff"/>
    <m/>
    <x v="0"/>
  </r>
  <r>
    <n v="43036543"/>
    <b v="0"/>
    <b v="0"/>
    <b v="0"/>
    <b v="1"/>
    <b v="0"/>
    <b v="1"/>
    <b v="1"/>
    <b v="0"/>
    <b v="0"/>
    <n v="0"/>
    <n v="0"/>
    <m/>
    <d v="2018-02-12T00:00:00"/>
    <n v="32127162"/>
    <d v="2017-12-23T00:00:00"/>
    <m/>
    <m/>
    <s v=""/>
    <b v="0"/>
    <m/>
    <m/>
    <d v="2017-12-22T00:00:00"/>
    <m/>
    <n v="791522"/>
    <b v="1"/>
    <m/>
    <d v="2017-12-23T00:00:00"/>
    <m/>
    <x v="0"/>
    <b v="1"/>
    <n v="43036543"/>
    <s v="Leslie"/>
    <s v="Naamon"/>
    <s v="IlliniCare Health"/>
    <s v=""/>
    <s v=""/>
    <s v="LNAAMON@centene.com"/>
    <s v=""/>
    <s v=""/>
    <s v=""/>
    <s v=""/>
    <s v=""/>
    <s v=""/>
    <s v=""/>
    <s v="IlliniCare Health"/>
    <s v=""/>
    <s v=""/>
    <s v=""/>
    <s v=""/>
    <s v=""/>
    <s v=""/>
    <s v=""/>
    <s v=""/>
    <s v="371616Newsletter Recipient, 372294Finance Committee"/>
    <m/>
    <x v="0"/>
  </r>
  <r>
    <n v="44047338"/>
    <b v="0"/>
    <b v="0"/>
    <b v="0"/>
    <b v="1"/>
    <b v="0"/>
    <b v="1"/>
    <b v="1"/>
    <b v="0"/>
    <b v="0"/>
    <n v="0"/>
    <n v="0"/>
    <m/>
    <d v="2018-03-02T00:00:00"/>
    <n v="32127162"/>
    <d v="2018-03-02T00:00:00"/>
    <m/>
    <m/>
    <s v=""/>
    <b v="0"/>
    <m/>
    <m/>
    <d v="2018-03-02T00:00:00"/>
    <m/>
    <n v="791522"/>
    <b v="1"/>
    <m/>
    <d v="2018-03-02T00:00:00"/>
    <m/>
    <x v="0"/>
    <b v="1"/>
    <n v="44047338"/>
    <s v="David"/>
    <s v="Nardone"/>
    <s v="Merck"/>
    <s v=""/>
    <s v=""/>
    <s v="david.nardone@merck.com"/>
    <s v=""/>
    <s v=""/>
    <s v=""/>
    <s v=""/>
    <s v=""/>
    <s v=""/>
    <s v=""/>
    <s v=""/>
    <s v=""/>
    <s v=""/>
    <s v=""/>
    <s v=""/>
    <s v=""/>
    <s v=""/>
    <s v=""/>
    <s v=""/>
    <s v="371616Newsletter Recipient"/>
    <m/>
    <x v="0"/>
  </r>
  <r>
    <n v="44249443"/>
    <b v="0"/>
    <b v="0"/>
    <b v="0"/>
    <b v="1"/>
    <b v="0"/>
    <b v="1"/>
    <b v="1"/>
    <b v="0"/>
    <b v="0"/>
    <n v="0"/>
    <n v="0"/>
    <m/>
    <d v="2018-03-16T00:00:00"/>
    <n v="32127162"/>
    <d v="2018-03-16T00:00:00"/>
    <m/>
    <m/>
    <s v=""/>
    <b v="0"/>
    <m/>
    <m/>
    <d v="2018-03-16T00:00:00"/>
    <m/>
    <n v="791522"/>
    <b v="1"/>
    <m/>
    <d v="2018-03-16T00:00:00"/>
    <m/>
    <x v="0"/>
    <b v="1"/>
    <n v="44249443"/>
    <s v="Tish"/>
    <s v="Navoa"/>
    <s v="IlliniCare Health"/>
    <s v=""/>
    <s v=""/>
    <s v="frizabelle.p.navoa@illinicare.com"/>
    <s v=""/>
    <s v=""/>
    <s v=""/>
    <s v=""/>
    <s v=""/>
    <s v=""/>
    <s v=""/>
    <s v=""/>
    <s v=""/>
    <s v=""/>
    <s v=""/>
    <s v=""/>
    <s v=""/>
    <s v=""/>
    <s v=""/>
    <s v=""/>
    <s v="371616Newsletter Recipient, 372294Finance Committee"/>
    <m/>
    <x v="0"/>
  </r>
  <r>
    <n v="46436637"/>
    <b v="0"/>
    <b v="0"/>
    <b v="0"/>
    <b v="1"/>
    <b v="0"/>
    <b v="1"/>
    <b v="1"/>
    <b v="0"/>
    <b v="0"/>
    <n v="0"/>
    <n v="0"/>
    <m/>
    <d v="2018-06-21T00:00:00"/>
    <n v="32127162"/>
    <d v="2018-06-21T00:00:00"/>
    <m/>
    <m/>
    <s v=""/>
    <b v="0"/>
    <m/>
    <m/>
    <d v="2018-06-21T00:00:00"/>
    <m/>
    <n v="791522"/>
    <b v="1"/>
    <m/>
    <d v="2018-06-21T00:00:00"/>
    <m/>
    <x v="0"/>
    <b v="1"/>
    <n v="46436637"/>
    <s v="Jennifer"/>
    <s v="Neberieza"/>
    <s v="Merck"/>
    <s v=""/>
    <s v=""/>
    <s v="jennifer.neberieza@merck.com"/>
    <s v=""/>
    <s v=""/>
    <s v=""/>
    <s v=""/>
    <s v=""/>
    <s v=""/>
    <s v=""/>
    <s v="Merck"/>
    <s v=""/>
    <s v=""/>
    <s v=""/>
    <s v=""/>
    <s v=""/>
    <s v=""/>
    <s v=""/>
    <s v=""/>
    <s v="371616Newsletter Recipient"/>
    <m/>
    <x v="0"/>
  </r>
  <r>
    <n v="37779408"/>
    <b v="0"/>
    <b v="0"/>
    <b v="0"/>
    <b v="1"/>
    <b v="0"/>
    <b v="1"/>
    <b v="1"/>
    <b v="0"/>
    <b v="0"/>
    <n v="0"/>
    <n v="0"/>
    <m/>
    <d v="2017-02-24T00:00:00"/>
    <n v="32127162"/>
    <d v="2017-02-21T00:00:00"/>
    <m/>
    <m/>
    <s v=""/>
    <b v="0"/>
    <m/>
    <m/>
    <d v="2017-02-20T00:00:00"/>
    <m/>
    <n v="791522"/>
    <b v="1"/>
    <m/>
    <m/>
    <m/>
    <x v="0"/>
    <b v="1"/>
    <n v="37779408"/>
    <s v="Elaine"/>
    <s v="Nekritz"/>
    <s v="Illinois General Assembly"/>
    <s v=""/>
    <s v="Representative Elaine Nekritz (D)_x000a_57th District_x000a_Assistant Majority Leader _x0009__x000a__x000a_Springfield Office:_x000a_241-E Stratton Office Building_x000a_Springfield, IL   62706_x000a_(217) 558-1004_x000a_(217) 558-4554 FAX_x000a__x000a_District Office:_x000a_830 S. Buffalo Grove Rd._x000a_Suite 120_x000a_Buffalo Grove, IL  60089_x000a_(847) 229-5499_x000a_(847) 229-5487 FAX"/>
    <s v="enekritz@repnekritz.org"/>
    <s v=""/>
    <s v=""/>
    <s v=""/>
    <s v=""/>
    <s v=""/>
    <s v=""/>
    <s v=""/>
    <s v=""/>
    <s v=""/>
    <s v=""/>
    <s v=""/>
    <s v=""/>
    <s v=""/>
    <s v=""/>
    <s v=""/>
    <s v=""/>
    <s v="371616Newsletter Recipient, 371627House of Representatives"/>
    <m/>
    <x v="0"/>
  </r>
  <r>
    <n v="42436901"/>
    <b v="0"/>
    <b v="0"/>
    <b v="0"/>
    <b v="1"/>
    <b v="0"/>
    <b v="1"/>
    <b v="1"/>
    <b v="0"/>
    <b v="0"/>
    <n v="0"/>
    <n v="0"/>
    <m/>
    <d v="2018-02-12T00:00:00"/>
    <n v="32127162"/>
    <d v="2017-11-02T00:00:00"/>
    <m/>
    <m/>
    <s v=""/>
    <b v="0"/>
    <m/>
    <m/>
    <d v="2017-11-02T00:00:00"/>
    <m/>
    <n v="791522"/>
    <b v="1"/>
    <m/>
    <d v="2017-11-02T00:00:00"/>
    <m/>
    <x v="0"/>
    <b v="1"/>
    <n v="42436901"/>
    <s v="Elizabeth"/>
    <s v="Nelson"/>
    <s v="Senate President's Office"/>
    <s v=""/>
    <s v=""/>
    <s v="enelson@senatedem.ilga.gov"/>
    <s v=""/>
    <s v=""/>
    <s v=""/>
    <s v=""/>
    <s v=""/>
    <s v=""/>
    <s v=""/>
    <s v=""/>
    <s v=""/>
    <s v=""/>
    <s v=""/>
    <s v=""/>
    <s v=""/>
    <s v=""/>
    <s v=""/>
    <s v=""/>
    <s v="371616Newsletter Recipient"/>
    <m/>
    <x v="0"/>
  </r>
  <r>
    <n v="39829650"/>
    <b v="0"/>
    <b v="0"/>
    <b v="1"/>
    <b v="1"/>
    <b v="0"/>
    <b v="1"/>
    <b v="1"/>
    <b v="0"/>
    <b v="0"/>
    <n v="0"/>
    <n v="0"/>
    <m/>
    <d v="2018-01-12T00:00:00"/>
    <n v="32127162"/>
    <d v="2017-07-07T00:00:00"/>
    <m/>
    <m/>
    <s v=""/>
    <b v="0"/>
    <m/>
    <m/>
    <d v="2017-07-07T00:00:00"/>
    <m/>
    <n v="791522"/>
    <b v="1"/>
    <m/>
    <m/>
    <m/>
    <x v="0"/>
    <b v="1"/>
    <n v="39829650"/>
    <s v="Julie"/>
    <s v="Nelson"/>
    <s v="CSH"/>
    <s v=""/>
    <s v=""/>
    <s v="julie.nelson@csh.org"/>
    <s v=""/>
    <s v=""/>
    <s v=""/>
    <s v=""/>
    <s v=""/>
    <s v=""/>
    <s v=""/>
    <s v=""/>
    <s v=""/>
    <s v=""/>
    <s v=""/>
    <s v=""/>
    <s v=""/>
    <s v=""/>
    <s v=""/>
    <s v=""/>
    <s v="371616Newsletter Recipient"/>
    <m/>
    <x v="0"/>
  </r>
  <r>
    <n v="44249307"/>
    <b v="0"/>
    <b v="0"/>
    <b v="0"/>
    <b v="1"/>
    <b v="0"/>
    <b v="1"/>
    <b v="1"/>
    <b v="0"/>
    <b v="0"/>
    <n v="0"/>
    <n v="0"/>
    <m/>
    <d v="2018-03-16T00:00:00"/>
    <n v="32127162"/>
    <d v="2018-03-16T00:00:00"/>
    <m/>
    <m/>
    <s v=""/>
    <b v="0"/>
    <m/>
    <m/>
    <d v="2018-03-16T00:00:00"/>
    <m/>
    <n v="791522"/>
    <b v="1"/>
    <m/>
    <d v="2018-03-16T00:00:00"/>
    <m/>
    <x v="0"/>
    <b v="1"/>
    <n v="44249307"/>
    <s v="Regina"/>
    <s v="Newson"/>
    <s v="IlliniCare Health"/>
    <s v=""/>
    <s v=""/>
    <s v="rnewson@illinicare.com"/>
    <s v=""/>
    <s v=""/>
    <s v=""/>
    <s v=""/>
    <s v=""/>
    <s v=""/>
    <s v=""/>
    <s v=""/>
    <s v=""/>
    <s v=""/>
    <s v=""/>
    <s v=""/>
    <s v=""/>
    <s v=""/>
    <s v=""/>
    <s v=""/>
    <s v="335736Provider Relations - Committee Members, 335741Chief Executive Officer, 371616Newsletter Recipient, 372296Legislative Committee"/>
    <m/>
    <x v="0"/>
  </r>
  <r>
    <n v="37822473"/>
    <b v="0"/>
    <b v="0"/>
    <b v="0"/>
    <b v="1"/>
    <b v="0"/>
    <b v="1"/>
    <b v="1"/>
    <b v="0"/>
    <b v="0"/>
    <n v="0"/>
    <n v="0"/>
    <m/>
    <d v="2017-02-24T00:00:00"/>
    <n v="32127162"/>
    <d v="2017-02-24T00:00:00"/>
    <m/>
    <m/>
    <s v=""/>
    <b v="0"/>
    <m/>
    <m/>
    <d v="2017-02-24T00:00:00"/>
    <m/>
    <n v="791522"/>
    <b v="1"/>
    <m/>
    <m/>
    <m/>
    <x v="0"/>
    <b v="1"/>
    <n v="37822473"/>
    <s v="Assistant for Senator Melinda Bush"/>
    <s v="Nick"/>
    <s v="Illinois General Assembly"/>
    <s v=""/>
    <s v=""/>
    <s v="nick@senatormelindabush.com"/>
    <s v=""/>
    <s v=""/>
    <s v=""/>
    <s v=""/>
    <s v=""/>
    <s v=""/>
    <s v=""/>
    <s v=""/>
    <s v=""/>
    <s v=""/>
    <s v=""/>
    <s v=""/>
    <s v=""/>
    <s v=""/>
    <s v=""/>
    <s v=""/>
    <s v="371616Newsletter Recipient, 372319IGA Senate Staff"/>
    <m/>
    <x v="0"/>
  </r>
  <r>
    <n v="43669729"/>
    <b v="0"/>
    <b v="0"/>
    <b v="0"/>
    <b v="1"/>
    <b v="0"/>
    <b v="1"/>
    <b v="1"/>
    <b v="0"/>
    <b v="0"/>
    <n v="0"/>
    <n v="0"/>
    <m/>
    <d v="2018-06-29T00:00:00"/>
    <n v="32127162"/>
    <d v="2018-02-08T00:00:00"/>
    <m/>
    <m/>
    <s v=""/>
    <b v="0"/>
    <m/>
    <m/>
    <d v="2018-02-07T00:00:00"/>
    <m/>
    <n v="791522"/>
    <b v="1"/>
    <m/>
    <d v="2018-02-08T00:00:00"/>
    <m/>
    <x v="0"/>
    <b v="1"/>
    <n v="43669729"/>
    <s v="CaTayna"/>
    <s v="Norwood"/>
    <s v="CountyCare Health Plan"/>
    <s v=""/>
    <s v=""/>
    <s v="cnorwood@cookcountyhhs.org"/>
    <s v=""/>
    <s v=""/>
    <s v=""/>
    <s v=""/>
    <s v=""/>
    <s v=""/>
    <s v=""/>
    <s v=""/>
    <s v=""/>
    <s v=""/>
    <s v=""/>
    <s v=""/>
    <s v=""/>
    <s v=""/>
    <s v=""/>
    <s v=""/>
    <s v="371616Newsletter Recipient, 428788Pharmacy Director Committee"/>
    <m/>
    <x v="0"/>
  </r>
  <r>
    <n v="37822721"/>
    <b v="0"/>
    <b v="0"/>
    <b v="0"/>
    <b v="1"/>
    <b v="0"/>
    <b v="1"/>
    <b v="1"/>
    <b v="0"/>
    <b v="0"/>
    <n v="0"/>
    <n v="0"/>
    <m/>
    <d v="2017-02-24T00:00:00"/>
    <n v="32127162"/>
    <d v="2017-02-24T00:00:00"/>
    <m/>
    <m/>
    <s v=""/>
    <b v="0"/>
    <m/>
    <m/>
    <d v="2017-02-24T00:00:00"/>
    <m/>
    <n v="791522"/>
    <b v="1"/>
    <m/>
    <m/>
    <m/>
    <x v="0"/>
    <b v="1"/>
    <n v="37822721"/>
    <s v="Felicia"/>
    <s v="Norwood"/>
    <s v="HFS"/>
    <s v="Director"/>
    <s v=""/>
    <s v="felicia.norwood@illinois.gov"/>
    <s v=""/>
    <s v=""/>
    <s v=""/>
    <s v=""/>
    <s v=""/>
    <s v=""/>
    <s v=""/>
    <s v=""/>
    <s v=""/>
    <s v=""/>
    <s v=""/>
    <s v=""/>
    <s v=""/>
    <s v=""/>
    <s v=""/>
    <s v=""/>
    <s v="371616Newsletter Recipient"/>
    <m/>
    <x v="0"/>
  </r>
  <r>
    <n v="37822544"/>
    <b v="0"/>
    <b v="0"/>
    <b v="0"/>
    <b v="1"/>
    <b v="0"/>
    <b v="1"/>
    <b v="1"/>
    <b v="0"/>
    <b v="0"/>
    <n v="0"/>
    <n v="0"/>
    <m/>
    <d v="2017-02-24T00:00:00"/>
    <n v="32127162"/>
    <d v="2017-02-24T00:00:00"/>
    <m/>
    <m/>
    <s v=""/>
    <b v="0"/>
    <m/>
    <m/>
    <d v="2017-02-24T00:00:00"/>
    <m/>
    <n v="791522"/>
    <b v="1"/>
    <m/>
    <m/>
    <m/>
    <x v="0"/>
    <b v="1"/>
    <n v="37822544"/>
    <s v="Ryan"/>
    <s v="Noth"/>
    <s v=""/>
    <s v=""/>
    <s v=""/>
    <s v="rnoth@addus.com"/>
    <s v=""/>
    <s v=""/>
    <s v=""/>
    <s v=""/>
    <s v=""/>
    <s v=""/>
    <s v=""/>
    <s v=""/>
    <s v=""/>
    <s v=""/>
    <s v=""/>
    <s v=""/>
    <s v=""/>
    <s v=""/>
    <s v=""/>
    <s v=""/>
    <s v="371616Newsletter Recipient"/>
    <m/>
    <x v="0"/>
  </r>
  <r>
    <n v="39566657"/>
    <b v="0"/>
    <b v="0"/>
    <b v="0"/>
    <b v="1"/>
    <b v="0"/>
    <b v="1"/>
    <b v="1"/>
    <b v="0"/>
    <b v="0"/>
    <n v="0"/>
    <n v="0"/>
    <m/>
    <d v="2018-02-12T00:00:00"/>
    <n v="32127162"/>
    <d v="2017-06-30T00:00:00"/>
    <m/>
    <m/>
    <s v=""/>
    <b v="0"/>
    <m/>
    <m/>
    <d v="2017-06-30T00:00:00"/>
    <m/>
    <n v="791522"/>
    <b v="1"/>
    <m/>
    <m/>
    <m/>
    <x v="0"/>
    <b v="1"/>
    <n v="39566657"/>
    <s v="Kristen"/>
    <s v="Nuyen"/>
    <s v="EverThrive Illinois"/>
    <s v=""/>
    <s v=""/>
    <s v="knuyen@everthriveil.org"/>
    <s v=""/>
    <s v=""/>
    <s v=""/>
    <s v=""/>
    <s v=""/>
    <s v=""/>
    <s v=""/>
    <s v=""/>
    <s v=""/>
    <s v=""/>
    <s v=""/>
    <s v=""/>
    <s v=""/>
    <s v=""/>
    <s v=""/>
    <s v=""/>
    <s v="371616Newsletter Recipient"/>
    <m/>
    <x v="0"/>
  </r>
  <r>
    <n v="37770805"/>
    <b v="0"/>
    <b v="0"/>
    <b v="0"/>
    <b v="1"/>
    <b v="0"/>
    <b v="1"/>
    <b v="1"/>
    <b v="0"/>
    <b v="0"/>
    <n v="0"/>
    <n v="0"/>
    <m/>
    <d v="2017-02-24T00:00:00"/>
    <n v="32127162"/>
    <d v="2017-02-20T00:00:00"/>
    <m/>
    <m/>
    <s v=""/>
    <b v="0"/>
    <m/>
    <m/>
    <d v="2017-02-20T00:00:00"/>
    <m/>
    <n v="791522"/>
    <b v="1"/>
    <m/>
    <m/>
    <m/>
    <x v="0"/>
    <b v="1"/>
    <n v="37770805"/>
    <s v="Chris"/>
    <s v="Nybo"/>
    <s v="Illinois General Assembly"/>
    <s v="Senator"/>
    <s v="Senator Chris Nybo (R)_x000a_24th District _x0009__x000a__x000a_Springfield Office:_x000a_Senator 24th District_x000a_105B Capitol Building_x000a_Springfield, IL   62706_x000a_(217) 782-8148_x000a_(217) 782-0116 FAX_x000a_ _x000a_District Office:_x000a_929 S. Main St._x000a_Unit 105B_x000a_Lombard, IL  60148_x000a_(630) 969-0990"/>
    <s v="chris@chrisnybo.org"/>
    <s v=""/>
    <s v=""/>
    <s v=""/>
    <s v=""/>
    <s v=""/>
    <s v="(217) 782-8148"/>
    <s v=""/>
    <s v=""/>
    <s v=""/>
    <s v=""/>
    <s v=""/>
    <s v=""/>
    <s v=""/>
    <s v=""/>
    <s v=""/>
    <s v=""/>
    <s v="371609Senator, 371616Newsletter Recipient"/>
    <m/>
    <x v="0"/>
  </r>
  <r>
    <n v="34020702"/>
    <b v="0"/>
    <b v="0"/>
    <b v="0"/>
    <b v="1"/>
    <b v="0"/>
    <b v="1"/>
    <b v="1"/>
    <b v="0"/>
    <b v="0"/>
    <n v="0"/>
    <n v="0"/>
    <m/>
    <d v="2017-12-20T00:00:00"/>
    <n v="32127162"/>
    <d v="2016-08-22T00:00:00"/>
    <m/>
    <m/>
    <s v=""/>
    <b v="0"/>
    <m/>
    <m/>
    <d v="2016-08-22T00:00:00"/>
    <m/>
    <n v="791522"/>
    <b v="1"/>
    <m/>
    <m/>
    <m/>
    <x v="0"/>
    <b v="1"/>
    <n v="34020702"/>
    <s v="Glenda"/>
    <s v="Oakley"/>
    <s v="Aetna Better Health"/>
    <s v=""/>
    <s v=""/>
    <s v="OakleyG@aetna.com"/>
    <s v="312-928-3180"/>
    <s v=""/>
    <s v=""/>
    <s v=""/>
    <s v=""/>
    <s v=""/>
    <s v=""/>
    <s v=""/>
    <s v=""/>
    <s v=""/>
    <s v=""/>
    <s v=""/>
    <s v=""/>
    <s v=""/>
    <s v=""/>
    <s v=""/>
    <s v="335742Chief Financial Officer, 371616Newsletter Recipient, 372294Finance Committee, 428250Hospital Assessment"/>
    <m/>
    <x v="0"/>
  </r>
  <r>
    <n v="37819864"/>
    <b v="0"/>
    <b v="0"/>
    <b v="0"/>
    <b v="1"/>
    <b v="0"/>
    <b v="1"/>
    <b v="1"/>
    <b v="0"/>
    <b v="0"/>
    <n v="0"/>
    <n v="0"/>
    <m/>
    <d v="2017-02-24T00:00:00"/>
    <n v="32127162"/>
    <d v="2017-02-24T00:00:00"/>
    <m/>
    <m/>
    <s v=""/>
    <b v="0"/>
    <m/>
    <m/>
    <d v="2017-02-24T00:00:00"/>
    <m/>
    <n v="791522"/>
    <b v="1"/>
    <m/>
    <m/>
    <m/>
    <x v="0"/>
    <b v="1"/>
    <n v="37819864"/>
    <s v="Deb"/>
    <s v="Oberman"/>
    <s v="Humana"/>
    <s v=""/>
    <s v=""/>
    <s v="doberman@humana.com"/>
    <s v=""/>
    <s v=""/>
    <s v=""/>
    <s v=""/>
    <s v=""/>
    <s v=""/>
    <s v=""/>
    <s v=""/>
    <s v=""/>
    <s v=""/>
    <s v=""/>
    <s v=""/>
    <s v=""/>
    <s v=""/>
    <s v=""/>
    <s v=""/>
    <s v="371616Newsletter Recipient"/>
    <m/>
    <x v="0"/>
  </r>
  <r>
    <n v="37770814"/>
    <b v="0"/>
    <b v="0"/>
    <b v="0"/>
    <b v="1"/>
    <b v="0"/>
    <b v="1"/>
    <b v="1"/>
    <b v="0"/>
    <b v="0"/>
    <n v="0"/>
    <n v="0"/>
    <m/>
    <d v="2017-02-24T00:00:00"/>
    <n v="32127162"/>
    <d v="2017-02-20T00:00:00"/>
    <m/>
    <m/>
    <s v=""/>
    <b v="0"/>
    <m/>
    <m/>
    <d v="2017-02-20T00:00:00"/>
    <m/>
    <n v="791522"/>
    <b v="1"/>
    <m/>
    <m/>
    <m/>
    <x v="0"/>
    <b v="1"/>
    <n v="37770814"/>
    <s v="Jim"/>
    <s v="Oberweis"/>
    <s v="Illinois General Assembly"/>
    <s v=""/>
    <s v="Senator Jim Oberweis (R)_x000a_25th District _x0009__x000a__x000a_Springfield Office:_x000a_Senator 25th District_x000a_108D Capitol Building_x000a_Springfield, IL   62706_x000a_(217) 782-0471_x000a_(217) 782-4243 FAX_x000a_ _x000a_District Office:_x000a_959 Oak Street_x000a_North Aurora, IL  60542_x000a_(630) 800-1992"/>
    <s v=""/>
    <s v=""/>
    <s v=""/>
    <s v=""/>
    <s v=""/>
    <s v=""/>
    <s v="(217) 782-0471"/>
    <s v=""/>
    <s v=""/>
    <s v=""/>
    <s v=""/>
    <s v=""/>
    <s v=""/>
    <s v=""/>
    <s v=""/>
    <s v=""/>
    <s v=""/>
    <s v="371609Senator, 371616Newsletter Recipient"/>
    <m/>
    <x v="0"/>
  </r>
  <r>
    <n v="37822604"/>
    <b v="0"/>
    <b v="0"/>
    <b v="0"/>
    <b v="1"/>
    <b v="0"/>
    <b v="1"/>
    <b v="1"/>
    <b v="0"/>
    <b v="0"/>
    <n v="0"/>
    <n v="0"/>
    <m/>
    <d v="2017-02-24T00:00:00"/>
    <n v="32127162"/>
    <d v="2017-02-24T00:00:00"/>
    <m/>
    <m/>
    <s v=""/>
    <b v="0"/>
    <m/>
    <m/>
    <d v="2017-02-24T00:00:00"/>
    <m/>
    <n v="791522"/>
    <b v="1"/>
    <m/>
    <m/>
    <m/>
    <x v="0"/>
    <b v="1"/>
    <n v="37822604"/>
    <s v="Doug"/>
    <s v="O'Brien"/>
    <s v="HFS"/>
    <s v=""/>
    <s v=""/>
    <s v="douglas.obrien@illinois.gov"/>
    <s v=""/>
    <s v=""/>
    <s v=""/>
    <s v=""/>
    <s v=""/>
    <s v=""/>
    <s v=""/>
    <s v=""/>
    <s v=""/>
    <s v=""/>
    <s v=""/>
    <s v=""/>
    <s v=""/>
    <s v=""/>
    <s v=""/>
    <s v=""/>
    <s v="371616Newsletter Recipient"/>
    <m/>
    <x v="0"/>
  </r>
  <r>
    <n v="34021502"/>
    <b v="0"/>
    <b v="0"/>
    <b v="0"/>
    <b v="1"/>
    <b v="0"/>
    <b v="1"/>
    <b v="1"/>
    <b v="0"/>
    <b v="0"/>
    <n v="0"/>
    <n v="0"/>
    <m/>
    <d v="2018-01-29T00:00:00"/>
    <n v="32127162"/>
    <d v="2016-08-22T00:00:00"/>
    <m/>
    <m/>
    <s v=""/>
    <b v="0"/>
    <m/>
    <m/>
    <d v="2016-08-22T00:00:00"/>
    <m/>
    <n v="791522"/>
    <b v="1"/>
    <m/>
    <m/>
    <m/>
    <x v="0"/>
    <b v="1"/>
    <n v="34021502"/>
    <s v="Joanne"/>
    <s v="OBrien"/>
    <s v="Blue Cross Blue Shield of Illinois"/>
    <s v=""/>
    <s v=""/>
    <s v="Joanne_OBrien@bcbsil.com"/>
    <s v="(312) 653-2413"/>
    <s v=""/>
    <s v=""/>
    <s v=""/>
    <s v=""/>
    <s v=""/>
    <s v=""/>
    <s v=""/>
    <s v=""/>
    <s v=""/>
    <s v=""/>
    <s v=""/>
    <s v=""/>
    <s v=""/>
    <s v=""/>
    <s v=""/>
    <s v="371616Newsletter Recipient, 420923Community Mental Health - Contracts, 420932FQHC - Contracts, 420944Mental Health - Contracts, 420947Methadone Treatment - Contracts, 420950Physicians - Contracts, 420953Public Health Department - Contracts, 420960Substance Use Disorder - Contracts, 420973Children's Services - Contracts"/>
    <s v="10633525Contracts"/>
    <x v="0"/>
  </r>
  <r>
    <n v="37819862"/>
    <b v="0"/>
    <b v="0"/>
    <b v="0"/>
    <b v="1"/>
    <b v="0"/>
    <b v="1"/>
    <b v="1"/>
    <b v="0"/>
    <b v="0"/>
    <n v="0"/>
    <n v="0"/>
    <m/>
    <d v="2017-02-24T00:00:00"/>
    <n v="32127162"/>
    <d v="2017-02-24T00:00:00"/>
    <m/>
    <m/>
    <s v=""/>
    <b v="0"/>
    <m/>
    <m/>
    <d v="2017-02-24T00:00:00"/>
    <m/>
    <n v="791522"/>
    <b v="1"/>
    <m/>
    <m/>
    <m/>
    <x v="0"/>
    <b v="1"/>
    <n v="37819862"/>
    <s v="Kelly"/>
    <s v="O'Brien"/>
    <s v="The Kennedy Forum"/>
    <s v=""/>
    <s v=""/>
    <s v="kelly@thekennedyforum.org"/>
    <s v=""/>
    <s v=""/>
    <s v=""/>
    <s v=""/>
    <s v=""/>
    <s v=""/>
    <s v=""/>
    <s v=""/>
    <s v=""/>
    <s v=""/>
    <s v=""/>
    <s v=""/>
    <s v=""/>
    <s v=""/>
    <s v=""/>
    <s v=""/>
    <s v="371616Newsletter Recipient"/>
    <m/>
    <x v="0"/>
  </r>
  <r>
    <n v="37822855"/>
    <b v="0"/>
    <b v="0"/>
    <b v="0"/>
    <b v="1"/>
    <b v="0"/>
    <b v="1"/>
    <b v="1"/>
    <b v="0"/>
    <b v="0"/>
    <n v="0"/>
    <n v="0"/>
    <m/>
    <d v="2017-02-24T00:00:00"/>
    <n v="32127162"/>
    <d v="2017-02-24T00:00:00"/>
    <m/>
    <m/>
    <s v=""/>
    <b v="0"/>
    <m/>
    <m/>
    <d v="2017-02-24T00:00:00"/>
    <m/>
    <n v="791522"/>
    <b v="1"/>
    <m/>
    <m/>
    <m/>
    <x v="0"/>
    <b v="1"/>
    <n v="37822855"/>
    <s v="Peter"/>
    <s v="O'Brien"/>
    <s v=""/>
    <s v=""/>
    <s v=""/>
    <s v="jtremblay@madomanagement.com"/>
    <s v=""/>
    <s v=""/>
    <s v=""/>
    <s v=""/>
    <s v=""/>
    <s v=""/>
    <s v=""/>
    <s v=""/>
    <s v=""/>
    <s v=""/>
    <s v=""/>
    <s v=""/>
    <s v=""/>
    <s v=""/>
    <s v=""/>
    <s v=""/>
    <s v="371616Newsletter Recipient"/>
    <m/>
    <x v="0"/>
  </r>
  <r>
    <n v="37822826"/>
    <b v="0"/>
    <b v="0"/>
    <b v="0"/>
    <b v="1"/>
    <b v="0"/>
    <b v="1"/>
    <b v="1"/>
    <b v="0"/>
    <b v="0"/>
    <n v="0"/>
    <n v="0"/>
    <m/>
    <d v="2017-02-24T00:00:00"/>
    <n v="32127162"/>
    <d v="2017-02-24T00:00:00"/>
    <m/>
    <m/>
    <s v=""/>
    <b v="0"/>
    <m/>
    <m/>
    <d v="2017-02-24T00:00:00"/>
    <m/>
    <n v="791522"/>
    <b v="1"/>
    <m/>
    <m/>
    <m/>
    <x v="0"/>
    <b v="1"/>
    <n v="37822826"/>
    <s v="Heather"/>
    <s v="ODonnell"/>
    <s v="Thresholds"/>
    <s v=""/>
    <s v=""/>
    <s v="hodonnell@thresholds.org"/>
    <s v=""/>
    <s v=""/>
    <s v=""/>
    <s v=""/>
    <s v=""/>
    <s v=""/>
    <s v=""/>
    <s v=""/>
    <s v=""/>
    <s v=""/>
    <s v=""/>
    <s v=""/>
    <s v=""/>
    <s v=""/>
    <s v=""/>
    <s v=""/>
    <s v="371616Newsletter Recipient"/>
    <m/>
    <x v="0"/>
  </r>
  <r>
    <n v="44358941"/>
    <b v="0"/>
    <b v="0"/>
    <b v="0"/>
    <b v="1"/>
    <b v="0"/>
    <b v="1"/>
    <b v="1"/>
    <b v="0"/>
    <b v="0"/>
    <n v="0"/>
    <n v="0"/>
    <m/>
    <d v="2018-03-22T00:00:00"/>
    <n v="32127162"/>
    <d v="2018-03-22T00:00:00"/>
    <m/>
    <m/>
    <s v=""/>
    <b v="0"/>
    <m/>
    <m/>
    <d v="2018-03-22T00:00:00"/>
    <m/>
    <n v="791522"/>
    <b v="1"/>
    <m/>
    <d v="2018-03-22T00:00:00"/>
    <m/>
    <x v="0"/>
    <b v="1"/>
    <n v="44358941"/>
    <s v="Brian"/>
    <s v="Oestreich"/>
    <s v="VaxCare"/>
    <s v=""/>
    <s v="Brian Oestreich_x000a_Regional Account Manager_x000a_Cell: 314-960-0112_x000a_3113 Lawton Road_x000a_Suite 250_x000a_Orlando, FL 32803_x000a_boestreich@vaxcare.com_x000a_www.vaxcare.com"/>
    <s v="boestreich@vaxcare.com"/>
    <s v=""/>
    <s v=""/>
    <s v=""/>
    <s v=""/>
    <s v=""/>
    <s v=""/>
    <s v=""/>
    <s v=""/>
    <s v="Regional Account Manager"/>
    <s v=""/>
    <s v=""/>
    <s v=""/>
    <s v=""/>
    <s v=""/>
    <s v=""/>
    <s v=""/>
    <s v="371616Newsletter Recipient, 372311Business Member"/>
    <m/>
    <x v="0"/>
  </r>
  <r>
    <n v="40307016"/>
    <b v="0"/>
    <b v="0"/>
    <b v="0"/>
    <b v="1"/>
    <b v="0"/>
    <b v="1"/>
    <b v="1"/>
    <b v="0"/>
    <b v="0"/>
    <n v="0"/>
    <n v="0"/>
    <m/>
    <d v="2018-03-26T00:00:00"/>
    <n v="32127162"/>
    <d v="2017-07-10T00:00:00"/>
    <m/>
    <m/>
    <s v=""/>
    <b v="0"/>
    <m/>
    <m/>
    <d v="2017-07-10T00:00:00"/>
    <m/>
    <n v="791522"/>
    <b v="1"/>
    <m/>
    <m/>
    <m/>
    <x v="0"/>
    <b v="1"/>
    <n v="40307016"/>
    <s v="Mesha"/>
    <s v="Okulaja"/>
    <s v="Aetna Better Health of Illinois"/>
    <s v=""/>
    <s v=""/>
    <s v="OkulajaM@aetna.com"/>
    <s v="224-563-8544"/>
    <s v=""/>
    <s v=""/>
    <s v=""/>
    <s v=""/>
    <s v=""/>
    <s v=""/>
    <s v=""/>
    <s v=""/>
    <s v=""/>
    <s v=""/>
    <s v=""/>
    <s v=""/>
    <s v=""/>
    <s v=""/>
    <s v=""/>
    <s v="371616Newsletter Recipient, 420929Durable Medical Equipment - Contracts, 420930Durable Medical Equipment - Claims &amp; Billing, 420931Durable Medical Equipment - Care Coordination, 420967Transportation - Contracts, 420968Transportation - Claims &amp; Billing, 420969Transportation - Care Coordination"/>
    <s v="10633525Contracts, 10633526Claims/Billing, 10633527Care Coordination"/>
    <x v="0"/>
  </r>
  <r>
    <n v="37819869"/>
    <b v="0"/>
    <b v="0"/>
    <b v="1"/>
    <b v="1"/>
    <b v="0"/>
    <b v="1"/>
    <b v="1"/>
    <b v="0"/>
    <b v="0"/>
    <n v="0"/>
    <n v="0"/>
    <m/>
    <d v="2018-05-29T00:00:00"/>
    <n v="32127162"/>
    <d v="2017-02-24T00:00:00"/>
    <m/>
    <m/>
    <s v=""/>
    <b v="0"/>
    <m/>
    <m/>
    <d v="2017-02-24T00:00:00"/>
    <m/>
    <n v="791522"/>
    <b v="1"/>
    <m/>
    <m/>
    <m/>
    <x v="0"/>
    <b v="1"/>
    <n v="37819869"/>
    <s v="Samantha"/>
    <s v="Olds Frey"/>
    <s v="Illinois Association of Medicaid Health Plans (IAMHP)"/>
    <s v=""/>
    <s v=""/>
    <s v="samantha@iamhpteam.org"/>
    <s v=""/>
    <s v=""/>
    <s v=""/>
    <s v="samoldsltc@gmail.com"/>
    <s v="(314) 599-0698"/>
    <s v=""/>
    <s v=""/>
    <s v=""/>
    <s v="Executive Director"/>
    <s v=""/>
    <s v=""/>
    <s v=""/>
    <s v=""/>
    <s v=""/>
    <s v=""/>
    <s v=""/>
    <s v="335736Provider Relations - Committee Members, 335741Chief Executive Officer, 335742Chief Financial Officer, 335743Chief Operating Officer, 335744Chief Medical Officer, 335745Quality Directors, 335746Encounters Expert, 335747Government Relations, 350522Compliance Officer, 371616Newsletter Recipient, 372292Medical Directors, 372293Quality Committee, 372294Finance Committee, 372295Board of Directors/General Distribution List, 372296Legislative Committee, 372297Operations Committee, 372298Operations Transportation Subcommittee, 372306Marketing Committee, 372307Membership &amp; Education, 372311Business Member, 372312IHA-IAMHP Working Group, 372313MCO Contact List for IHA, 372314Pharmacy Director, 3767711115 Workgroup, 405964IAMHP Staff, 420889Executive Committee, 420902Monthly Poll Contacts, 420911IAMHP Leadership, 420915HFS OIG - Transportation Brokers, 428250Hospital Assessment, 428788Pharmacy Director Committee, 441580Compliance Committee, 443813Discharge Planning, 443814Billing Working Group, 447857HFS Ops Workgroup"/>
    <m/>
    <x v="0"/>
  </r>
  <r>
    <n v="36548833"/>
    <b v="0"/>
    <b v="0"/>
    <b v="0"/>
    <b v="1"/>
    <b v="0"/>
    <b v="1"/>
    <b v="1"/>
    <b v="0"/>
    <b v="0"/>
    <n v="0"/>
    <n v="0"/>
    <m/>
    <d v="2018-06-29T00:00:00"/>
    <n v="32127162"/>
    <d v="2016-12-14T00:00:00"/>
    <m/>
    <m/>
    <s v=""/>
    <b v="0"/>
    <m/>
    <m/>
    <d v="2016-12-14T00:00:00"/>
    <m/>
    <n v="791522"/>
    <b v="1"/>
    <m/>
    <m/>
    <m/>
    <x v="0"/>
    <b v="1"/>
    <n v="36548833"/>
    <s v="Tasha"/>
    <s v="Oliver"/>
    <s v="CountyCare Health Plan"/>
    <s v=""/>
    <s v=""/>
    <s v="tasha.oliver@cookcountyhhs.org"/>
    <s v=""/>
    <s v=""/>
    <s v=""/>
    <s v=""/>
    <s v=""/>
    <s v=""/>
    <s v=""/>
    <s v=""/>
    <s v=""/>
    <s v=""/>
    <s v=""/>
    <s v=""/>
    <s v=""/>
    <s v=""/>
    <s v=""/>
    <s v=""/>
    <s v="335736Provider Relations - Committee Members, 371616Newsletter Recipient, 372297Operations Committee, 447857HFS Ops Workgroup"/>
    <m/>
    <x v="0"/>
  </r>
  <r>
    <n v="37779413"/>
    <b v="0"/>
    <b v="0"/>
    <b v="0"/>
    <b v="1"/>
    <b v="0"/>
    <b v="1"/>
    <b v="1"/>
    <b v="0"/>
    <b v="0"/>
    <n v="0"/>
    <n v="0"/>
    <m/>
    <d v="2017-02-24T00:00:00"/>
    <n v="32127162"/>
    <d v="2017-02-21T00:00:00"/>
    <m/>
    <m/>
    <s v=""/>
    <b v="0"/>
    <m/>
    <m/>
    <d v="2017-02-20T00:00:00"/>
    <m/>
    <n v="791522"/>
    <b v="1"/>
    <m/>
    <m/>
    <m/>
    <x v="0"/>
    <b v="1"/>
    <n v="37779413"/>
    <s v="David"/>
    <s v="Olsen"/>
    <s v="Illinois General Assembly"/>
    <s v=""/>
    <s v="Representative David S. Olsen (R)_x000a_81st District _x0009__x000a__x000a_Springfield Office:_x000a_213-N Stratton Office Building_x000a_Springfield, IL   62706_x000a_(217) 782-6578_x000a__x000a_District Office:_x000a_633 Rogers Street_x000a_Suite 108_x000a_Downers Grove, IL  60515_x000a_(630) 737-0504_x000a_(630) 737-0509 FAX"/>
    <s v="olsen@ilhousegop.org"/>
    <s v=""/>
    <s v=""/>
    <s v=""/>
    <s v=""/>
    <s v=""/>
    <s v=""/>
    <s v=""/>
    <s v=""/>
    <s v=""/>
    <s v=""/>
    <s v=""/>
    <s v=""/>
    <s v=""/>
    <s v=""/>
    <s v=""/>
    <s v=""/>
    <s v="371616Newsletter Recipient, 371627House of Representatives"/>
    <m/>
    <x v="0"/>
  </r>
  <r>
    <n v="44047345"/>
    <b v="0"/>
    <b v="0"/>
    <b v="0"/>
    <b v="1"/>
    <b v="0"/>
    <b v="1"/>
    <b v="1"/>
    <b v="0"/>
    <b v="0"/>
    <n v="0"/>
    <n v="0"/>
    <m/>
    <d v="2018-03-02T00:00:00"/>
    <n v="32127162"/>
    <d v="2018-03-02T00:00:00"/>
    <m/>
    <m/>
    <s v=""/>
    <b v="0"/>
    <m/>
    <m/>
    <d v="2018-03-02T00:00:00"/>
    <m/>
    <n v="791522"/>
    <b v="1"/>
    <m/>
    <d v="2018-03-02T00:00:00"/>
    <m/>
    <x v="0"/>
    <b v="1"/>
    <n v="44047345"/>
    <s v="Kara"/>
    <s v="Olsen"/>
    <s v="Maple Point"/>
    <s v=""/>
    <s v=""/>
    <s v="k.olsen@piattcountynursinghome.org"/>
    <s v=""/>
    <s v=""/>
    <s v=""/>
    <s v=""/>
    <s v=""/>
    <s v=""/>
    <s v=""/>
    <s v=""/>
    <s v=""/>
    <s v=""/>
    <s v=""/>
    <s v=""/>
    <s v=""/>
    <s v=""/>
    <s v=""/>
    <s v=""/>
    <s v="371616Newsletter Recipient"/>
    <m/>
    <x v="0"/>
  </r>
  <r>
    <n v="43203478"/>
    <b v="0"/>
    <b v="0"/>
    <b v="1"/>
    <b v="1"/>
    <b v="0"/>
    <b v="1"/>
    <b v="1"/>
    <b v="0"/>
    <b v="0"/>
    <n v="0"/>
    <n v="0"/>
    <m/>
    <d v="2018-04-05T00:00:00"/>
    <n v="32127162"/>
    <d v="2018-01-09T00:00:00"/>
    <m/>
    <m/>
    <s v=""/>
    <b v="0"/>
    <m/>
    <m/>
    <d v="2018-03-02T00:00:00"/>
    <m/>
    <n v="791522"/>
    <b v="1"/>
    <m/>
    <d v="2018-03-02T00:00:00"/>
    <m/>
    <x v="0"/>
    <b v="1"/>
    <n v="43203478"/>
    <s v="Michelle"/>
    <s v="O'Nail"/>
    <s v="DentaQuest Southern Greater Chicago (Meridian)"/>
    <s v="IL Provider Relations"/>
    <s v="Dental"/>
    <s v="michelle.onail@dentaquest.com"/>
    <s v="630.453.7339"/>
    <s v=""/>
    <s v=""/>
    <s v=""/>
    <s v=""/>
    <s v=""/>
    <s v=""/>
    <s v=""/>
    <s v=""/>
    <s v=""/>
    <s v=""/>
    <s v=""/>
    <s v=""/>
    <s v=""/>
    <s v=""/>
    <s v=""/>
    <s v="420926Dental - Contracts, 420927Dental - Claims &amp; Billing"/>
    <s v="10633525Contracts, 10633526Claims/Billing"/>
    <x v="0"/>
  </r>
  <r>
    <n v="39530372"/>
    <b v="0"/>
    <b v="0"/>
    <b v="0"/>
    <b v="1"/>
    <b v="0"/>
    <b v="1"/>
    <b v="1"/>
    <b v="0"/>
    <b v="0"/>
    <n v="0"/>
    <n v="0"/>
    <m/>
    <d v="2018-03-26T00:00:00"/>
    <n v="32127162"/>
    <d v="2017-06-27T00:00:00"/>
    <m/>
    <m/>
    <s v=""/>
    <b v="0"/>
    <m/>
    <m/>
    <d v="2017-06-27T00:00:00"/>
    <m/>
    <n v="791522"/>
    <b v="1"/>
    <m/>
    <m/>
    <m/>
    <x v="0"/>
    <b v="1"/>
    <n v="39530372"/>
    <s v=""/>
    <s v="OptumRx Pharmacy Helpline"/>
    <s v="CountyCare Health Plan"/>
    <s v=""/>
    <s v="www.countycare.com/pdl"/>
    <s v=""/>
    <s v="877-235-1981"/>
    <s v=""/>
    <s v=""/>
    <s v=""/>
    <s v=""/>
    <s v=""/>
    <s v=""/>
    <s v=""/>
    <s v=""/>
    <s v=""/>
    <s v=""/>
    <s v=""/>
    <s v=""/>
    <s v=""/>
    <s v=""/>
    <s v=""/>
    <s v="420970Pharmacy/Pharmaceuticals - Contracts, 420971Pharmacy/Pharmaceuticals - Claims &amp; Billing"/>
    <s v="10633525Contracts, 10633526Claims/Billing"/>
    <x v="0"/>
  </r>
  <r>
    <n v="43104835"/>
    <b v="0"/>
    <b v="0"/>
    <b v="1"/>
    <b v="1"/>
    <b v="0"/>
    <b v="1"/>
    <b v="1"/>
    <b v="0"/>
    <b v="0"/>
    <n v="0"/>
    <n v="0"/>
    <m/>
    <d v="2018-03-02T00:00:00"/>
    <n v="32127162"/>
    <d v="2018-01-03T00:00:00"/>
    <d v="2018-01-03T00:00:00"/>
    <m/>
    <s v=""/>
    <b v="0"/>
    <m/>
    <m/>
    <d v="2018-03-02T00:00:00"/>
    <m/>
    <n v="791522"/>
    <b v="1"/>
    <m/>
    <d v="2018-03-02T00:00:00"/>
    <m/>
    <x v="0"/>
    <b v="1"/>
    <n v="43104835"/>
    <s v="Dru"/>
    <s v="O'Rourke"/>
    <s v="Illinois Chapter, American Academy of Pediatrics (ICAAP)"/>
    <s v="Program Manager"/>
    <s v=""/>
    <s v="dorourke@illinoisaap.com"/>
    <s v="3127331026"/>
    <s v=""/>
    <s v=""/>
    <s v="dorourke@illinoisaap.com"/>
    <s v="312.733.1026"/>
    <s v="312.733.1026"/>
    <s v=""/>
    <s v=""/>
    <s v=""/>
    <s v=""/>
    <s v=""/>
    <s v=""/>
    <s v=""/>
    <s v=""/>
    <s v=""/>
    <s v=""/>
    <s v="371616Newsletter Recipient"/>
    <m/>
    <x v="0"/>
  </r>
  <r>
    <n v="37819872"/>
    <b v="0"/>
    <b v="0"/>
    <b v="0"/>
    <b v="1"/>
    <b v="0"/>
    <b v="1"/>
    <b v="1"/>
    <b v="0"/>
    <b v="0"/>
    <n v="0"/>
    <n v="0"/>
    <m/>
    <d v="2017-02-24T00:00:00"/>
    <n v="32127162"/>
    <d v="2017-02-24T00:00:00"/>
    <m/>
    <m/>
    <s v=""/>
    <b v="0"/>
    <m/>
    <m/>
    <d v="2017-02-24T00:00:00"/>
    <m/>
    <n v="791522"/>
    <b v="1"/>
    <m/>
    <m/>
    <m/>
    <x v="0"/>
    <b v="1"/>
    <n v="37819872"/>
    <s v="Barbara"/>
    <s v="Otto"/>
    <s v="Health and Disability Advocates"/>
    <s v=""/>
    <s v=""/>
    <s v="botto@hdadvocates.org"/>
    <s v=""/>
    <s v=""/>
    <s v=""/>
    <s v=""/>
    <s v=""/>
    <s v=""/>
    <s v=""/>
    <s v=""/>
    <s v="President and CEO"/>
    <s v=""/>
    <s v=""/>
    <s v=""/>
    <s v=""/>
    <s v=""/>
    <s v=""/>
    <s v=""/>
    <s v="371616Newsletter Recipient"/>
    <m/>
    <x v="0"/>
  </r>
  <r>
    <n v="44399157"/>
    <b v="0"/>
    <b v="0"/>
    <b v="0"/>
    <b v="1"/>
    <b v="0"/>
    <b v="1"/>
    <b v="1"/>
    <b v="0"/>
    <b v="0"/>
    <n v="0"/>
    <n v="0"/>
    <m/>
    <d v="2018-04-24T00:00:00"/>
    <n v="32127162"/>
    <d v="2018-03-26T00:00:00"/>
    <m/>
    <m/>
    <s v=""/>
    <b v="0"/>
    <m/>
    <m/>
    <d v="2018-03-26T00:00:00"/>
    <m/>
    <n v="791522"/>
    <b v="1"/>
    <m/>
    <d v="2018-03-26T00:00:00"/>
    <m/>
    <x v="0"/>
    <b v="1"/>
    <n v="44399157"/>
    <s v="Cory"/>
    <s v="Otto"/>
    <s v="CountyCare Health Plan"/>
    <s v=""/>
    <s v=""/>
    <s v="cotto@cookcountyhhs.org"/>
    <s v=""/>
    <s v=""/>
    <s v=""/>
    <s v=""/>
    <s v=""/>
    <s v=""/>
    <s v=""/>
    <s v="Cook County Health &amp; Hospitals System"/>
    <s v=""/>
    <s v=""/>
    <s v=""/>
    <s v=""/>
    <s v=""/>
    <s v=""/>
    <s v=""/>
    <s v=""/>
    <s v="350522Compliance Officer, 371616Newsletter Recipient, 441580Compliance Committee"/>
    <m/>
    <x v="0"/>
  </r>
  <r>
    <n v="37819873"/>
    <b v="0"/>
    <b v="0"/>
    <b v="0"/>
    <b v="1"/>
    <b v="0"/>
    <b v="1"/>
    <b v="1"/>
    <b v="0"/>
    <b v="0"/>
    <n v="0"/>
    <n v="0"/>
    <m/>
    <d v="2018-01-22T00:00:00"/>
    <n v="32127162"/>
    <d v="2017-02-24T00:00:00"/>
    <m/>
    <m/>
    <s v=""/>
    <b v="0"/>
    <m/>
    <m/>
    <d v="2017-02-24T00:00:00"/>
    <m/>
    <n v="791522"/>
    <b v="1"/>
    <m/>
    <m/>
    <m/>
    <x v="0"/>
    <b v="1"/>
    <n v="37819873"/>
    <s v="Jim"/>
    <s v="Otto"/>
    <s v="NextLevel Health"/>
    <s v=""/>
    <s v=""/>
    <s v="jim.otto@nlhpartners.com"/>
    <s v=""/>
    <s v=""/>
    <s v=""/>
    <s v=""/>
    <s v=""/>
    <s v=""/>
    <s v=""/>
    <s v=""/>
    <s v=""/>
    <s v=""/>
    <s v=""/>
    <s v=""/>
    <s v=""/>
    <s v=""/>
    <s v=""/>
    <s v=""/>
    <s v="371616Newsletter Recipient"/>
    <m/>
    <x v="0"/>
  </r>
  <r>
    <n v="37819874"/>
    <b v="0"/>
    <b v="0"/>
    <b v="0"/>
    <b v="1"/>
    <b v="0"/>
    <b v="1"/>
    <b v="1"/>
    <b v="0"/>
    <b v="0"/>
    <n v="0"/>
    <n v="0"/>
    <m/>
    <d v="2017-02-24T00:00:00"/>
    <n v="32127162"/>
    <d v="2017-02-24T00:00:00"/>
    <m/>
    <m/>
    <s v=""/>
    <b v="0"/>
    <m/>
    <m/>
    <d v="2017-02-24T00:00:00"/>
    <m/>
    <n v="791522"/>
    <b v="1"/>
    <m/>
    <m/>
    <m/>
    <x v="0"/>
    <b v="1"/>
    <n v="37819874"/>
    <s v="Charles"/>
    <s v="Owen"/>
    <s v="FHN/CCAI"/>
    <s v=""/>
    <s v=""/>
    <s v="COwen@myfhn.com"/>
    <s v=""/>
    <s v=""/>
    <s v=""/>
    <s v=""/>
    <s v=""/>
    <s v=""/>
    <s v=""/>
    <s v=""/>
    <s v=""/>
    <s v=""/>
    <s v=""/>
    <s v=""/>
    <s v=""/>
    <s v=""/>
    <s v=""/>
    <s v=""/>
    <s v="371616Newsletter Recipient"/>
    <m/>
    <x v="0"/>
  </r>
  <r>
    <n v="41515966"/>
    <b v="0"/>
    <b v="0"/>
    <b v="1"/>
    <b v="1"/>
    <b v="0"/>
    <b v="1"/>
    <b v="1"/>
    <b v="0"/>
    <b v="0"/>
    <n v="0"/>
    <n v="0"/>
    <m/>
    <d v="2017-09-18T00:00:00"/>
    <n v="32127162"/>
    <d v="2017-09-16T00:00:00"/>
    <d v="2017-09-16T00:00:00"/>
    <m/>
    <s v=""/>
    <b v="0"/>
    <m/>
    <m/>
    <d v="2017-09-18T00:00:00"/>
    <m/>
    <n v="791522"/>
    <b v="1"/>
    <m/>
    <d v="2017-09-18T00:00:00"/>
    <m/>
    <x v="0"/>
    <b v="1"/>
    <n v="41515966"/>
    <s v="Jesse"/>
    <s v="Owens"/>
    <s v="Behavioral Health Provider"/>
    <s v="LCSW"/>
    <s v=""/>
    <s v="jowens941@gmail.com"/>
    <s v="312480-5775"/>
    <s v="L."/>
    <s v=""/>
    <s v=""/>
    <s v=""/>
    <s v=""/>
    <s v=""/>
    <s v=""/>
    <s v=""/>
    <s v=""/>
    <s v=""/>
    <s v=""/>
    <s v=""/>
    <s v=""/>
    <s v=""/>
    <s v=""/>
    <s v="371616Newsletter Recipient"/>
    <m/>
    <x v="0"/>
  </r>
  <r>
    <n v="43763175"/>
    <b v="0"/>
    <b v="0"/>
    <b v="0"/>
    <b v="1"/>
    <b v="0"/>
    <b v="1"/>
    <b v="1"/>
    <b v="0"/>
    <b v="0"/>
    <n v="0"/>
    <n v="0"/>
    <m/>
    <d v="2018-02-14T00:00:00"/>
    <n v="32127162"/>
    <d v="2018-02-14T00:00:00"/>
    <m/>
    <m/>
    <s v=""/>
    <b v="0"/>
    <m/>
    <m/>
    <d v="2018-02-14T00:00:00"/>
    <m/>
    <n v="791522"/>
    <b v="1"/>
    <m/>
    <d v="2018-02-14T00:00:00"/>
    <m/>
    <x v="0"/>
    <b v="1"/>
    <n v="43763175"/>
    <s v="Tom"/>
    <s v="Owens"/>
    <s v="Aunt Martha's Health &amp; Wellness"/>
    <s v=""/>
    <s v=""/>
    <s v="towens@auntmarthas.org"/>
    <s v=""/>
    <s v=""/>
    <s v=""/>
    <s v=""/>
    <s v=""/>
    <s v=""/>
    <s v=""/>
    <s v=""/>
    <s v=""/>
    <s v=""/>
    <s v=""/>
    <s v=""/>
    <s v=""/>
    <s v=""/>
    <s v=""/>
    <s v=""/>
    <s v="371616Newsletter Recipient"/>
    <m/>
    <x v="0"/>
  </r>
  <r>
    <n v="43189429"/>
    <b v="0"/>
    <b v="0"/>
    <b v="1"/>
    <b v="1"/>
    <b v="0"/>
    <b v="1"/>
    <b v="1"/>
    <b v="0"/>
    <b v="0"/>
    <n v="0"/>
    <n v="0"/>
    <m/>
    <d v="2018-02-19T00:00:00"/>
    <n v="32127162"/>
    <d v="2018-01-08T00:00:00"/>
    <d v="2018-01-08T00:00:00"/>
    <m/>
    <s v=""/>
    <b v="0"/>
    <m/>
    <m/>
    <d v="2018-02-19T00:00:00"/>
    <m/>
    <n v="791522"/>
    <b v="1"/>
    <m/>
    <d v="2018-02-19T00:00:00"/>
    <m/>
    <x v="0"/>
    <b v="1"/>
    <n v="43189429"/>
    <s v="Melinda"/>
    <s v="Oxford"/>
    <s v="Coordinated Youth and Human Services/ Madison County AIDS Program"/>
    <s v="Supervisor"/>
    <s v="Supervise case managers for the Ryan White program as well as the DRS Home Services program"/>
    <s v="moxford@cyhs.com"/>
    <s v="618-877-5110"/>
    <s v=""/>
    <s v=""/>
    <s v=""/>
    <s v=""/>
    <s v=""/>
    <s v=""/>
    <s v=""/>
    <s v=""/>
    <s v=""/>
    <s v=""/>
    <s v=""/>
    <s v=""/>
    <s v=""/>
    <s v=""/>
    <s v=""/>
    <s v="371616Newsletter Recipient"/>
    <m/>
    <x v="0"/>
  </r>
  <r>
    <n v="46436622"/>
    <b v="0"/>
    <b v="0"/>
    <b v="0"/>
    <b v="1"/>
    <b v="0"/>
    <b v="1"/>
    <b v="1"/>
    <b v="0"/>
    <b v="0"/>
    <n v="0"/>
    <n v="0"/>
    <m/>
    <d v="2018-06-21T00:00:00"/>
    <n v="32127162"/>
    <d v="2018-06-21T00:00:00"/>
    <m/>
    <m/>
    <s v=""/>
    <b v="0"/>
    <m/>
    <m/>
    <d v="2018-06-21T00:00:00"/>
    <m/>
    <n v="791522"/>
    <b v="1"/>
    <m/>
    <d v="2018-06-21T00:00:00"/>
    <m/>
    <x v="0"/>
    <b v="1"/>
    <n v="46436622"/>
    <s v="Colleen"/>
    <s v="Oyediran"/>
    <s v="Health Services Advisory Group (HSAG)"/>
    <s v=""/>
    <s v=""/>
    <s v="coyediran@hsag.com"/>
    <s v=""/>
    <s v=""/>
    <s v=""/>
    <s v=""/>
    <s v=""/>
    <s v=""/>
    <s v=""/>
    <s v="Health Services Advisory Group (HSAG)"/>
    <s v=""/>
    <s v=""/>
    <s v=""/>
    <s v=""/>
    <s v=""/>
    <s v=""/>
    <s v=""/>
    <s v=""/>
    <s v="371616Newsletter Recipient"/>
    <m/>
    <x v="0"/>
  </r>
  <r>
    <n v="37822535"/>
    <b v="0"/>
    <b v="0"/>
    <b v="0"/>
    <b v="1"/>
    <b v="0"/>
    <b v="1"/>
    <b v="1"/>
    <b v="0"/>
    <b v="0"/>
    <n v="0"/>
    <n v="0"/>
    <m/>
    <d v="2017-02-24T00:00:00"/>
    <n v="32127162"/>
    <d v="2017-02-24T00:00:00"/>
    <m/>
    <m/>
    <s v=""/>
    <b v="0"/>
    <m/>
    <m/>
    <d v="2017-02-24T00:00:00"/>
    <m/>
    <n v="791522"/>
    <b v="1"/>
    <m/>
    <m/>
    <m/>
    <x v="0"/>
    <b v="1"/>
    <n v="37822535"/>
    <s v="Assistant to Senator Christine Radogno"/>
    <s v="P Schuh"/>
    <s v="Illinois General Assembly"/>
    <s v=""/>
    <s v=""/>
    <s v="PSchuh@senategop.state.il.us"/>
    <s v=""/>
    <s v=""/>
    <s v=""/>
    <s v=""/>
    <s v=""/>
    <s v=""/>
    <s v=""/>
    <s v=""/>
    <s v=""/>
    <s v=""/>
    <s v=""/>
    <s v=""/>
    <s v=""/>
    <s v=""/>
    <s v=""/>
    <s v=""/>
    <s v="371616Newsletter Recipient, 372319IGA Senate Staff"/>
    <m/>
    <x v="0"/>
  </r>
  <r>
    <n v="34087596"/>
    <b v="0"/>
    <b v="0"/>
    <b v="0"/>
    <b v="1"/>
    <b v="0"/>
    <b v="1"/>
    <b v="1"/>
    <b v="0"/>
    <b v="0"/>
    <n v="0"/>
    <n v="0"/>
    <m/>
    <d v="2018-01-22T00:00:00"/>
    <n v="32127162"/>
    <d v="2016-08-29T00:00:00"/>
    <m/>
    <m/>
    <s v=""/>
    <b v="0"/>
    <m/>
    <m/>
    <d v="2016-08-29T00:00:00"/>
    <m/>
    <n v="791522"/>
    <b v="1"/>
    <m/>
    <m/>
    <m/>
    <x v="0"/>
    <b v="1"/>
    <n v="34087596"/>
    <s v="Tracy"/>
    <s v="Pacheco"/>
    <s v="Molina Healthcare of Illinois, Inc."/>
    <s v=""/>
    <s v=""/>
    <s v="Tracy.Pacheco@molinahealthcare.com"/>
    <s v="888-562-5442 ext 163949"/>
    <s v=""/>
    <s v=""/>
    <s v=""/>
    <s v=""/>
    <s v=""/>
    <s v=""/>
    <s v=""/>
    <s v=""/>
    <s v=""/>
    <s v=""/>
    <s v=""/>
    <s v=""/>
    <s v=""/>
    <s v=""/>
    <s v=""/>
    <s v="371616Newsletter Recipient"/>
    <m/>
    <x v="0"/>
  </r>
  <r>
    <n v="37819877"/>
    <b v="0"/>
    <b v="0"/>
    <b v="0"/>
    <b v="1"/>
    <b v="0"/>
    <b v="1"/>
    <b v="1"/>
    <b v="0"/>
    <b v="0"/>
    <n v="0"/>
    <n v="0"/>
    <m/>
    <d v="2017-02-24T00:00:00"/>
    <n v="32127162"/>
    <d v="2017-02-24T00:00:00"/>
    <m/>
    <m/>
    <s v=""/>
    <b v="0"/>
    <m/>
    <m/>
    <d v="2017-02-24T00:00:00"/>
    <m/>
    <n v="791522"/>
    <b v="1"/>
    <m/>
    <m/>
    <m/>
    <x v="0"/>
    <b v="1"/>
    <n v="37819877"/>
    <s v="Joy"/>
    <s v="Paeth"/>
    <s v="AgeSmart Community Resources"/>
    <s v=""/>
    <s v=""/>
    <s v="jpaeth@agesmart.org"/>
    <s v=""/>
    <s v=""/>
    <s v=""/>
    <s v=""/>
    <s v=""/>
    <s v=""/>
    <s v=""/>
    <s v=""/>
    <s v="Chief Executive Officer"/>
    <s v=""/>
    <s v=""/>
    <s v=""/>
    <s v=""/>
    <s v=""/>
    <s v=""/>
    <s v=""/>
    <s v="371616Newsletter Recipient"/>
    <m/>
    <x v="0"/>
  </r>
  <r>
    <n v="43776151"/>
    <b v="0"/>
    <b v="0"/>
    <b v="0"/>
    <b v="1"/>
    <b v="0"/>
    <b v="1"/>
    <b v="1"/>
    <b v="0"/>
    <b v="0"/>
    <n v="0"/>
    <n v="0"/>
    <m/>
    <d v="2018-02-15T00:00:00"/>
    <n v="32127162"/>
    <d v="2018-02-15T00:00:00"/>
    <m/>
    <m/>
    <s v=""/>
    <b v="0"/>
    <m/>
    <m/>
    <d v="2018-02-15T00:00:00"/>
    <m/>
    <n v="791522"/>
    <b v="1"/>
    <m/>
    <d v="2018-02-15T00:00:00"/>
    <m/>
    <x v="0"/>
    <b v="1"/>
    <n v="43776151"/>
    <s v="Kathryn"/>
    <s v="Pakula"/>
    <s v="Blue Cross Blue Shield of Illinois"/>
    <s v=""/>
    <s v=""/>
    <s v="kathryn_pakula@bcbsil.com"/>
    <s v=""/>
    <s v=""/>
    <s v=""/>
    <s v=""/>
    <s v=""/>
    <s v=""/>
    <s v=""/>
    <s v=""/>
    <s v=""/>
    <s v=""/>
    <s v=""/>
    <s v=""/>
    <s v=""/>
    <s v=""/>
    <s v=""/>
    <s v=""/>
    <s v="371616Newsletter Recipient"/>
    <m/>
    <x v="0"/>
  </r>
  <r>
    <n v="46436526"/>
    <b v="0"/>
    <b v="0"/>
    <b v="0"/>
    <b v="1"/>
    <b v="0"/>
    <b v="1"/>
    <b v="1"/>
    <b v="0"/>
    <b v="0"/>
    <n v="0"/>
    <n v="0"/>
    <m/>
    <d v="2018-06-21T00:00:00"/>
    <n v="32127162"/>
    <d v="2018-06-21T00:00:00"/>
    <m/>
    <m/>
    <s v=""/>
    <b v="0"/>
    <m/>
    <m/>
    <d v="2018-06-21T00:00:00"/>
    <m/>
    <n v="791522"/>
    <b v="1"/>
    <m/>
    <d v="2018-06-21T00:00:00"/>
    <m/>
    <x v="0"/>
    <b v="1"/>
    <n v="46436526"/>
    <s v="Stephanie"/>
    <s v="Papoulis"/>
    <s v="WellCare Health Plans"/>
    <s v=""/>
    <s v=""/>
    <s v="stephanie.papoulis@wellcare.com"/>
    <s v=""/>
    <s v=""/>
    <s v=""/>
    <s v=""/>
    <s v=""/>
    <s v=""/>
    <s v=""/>
    <s v="WellCare Health Plans"/>
    <s v=""/>
    <s v=""/>
    <s v=""/>
    <s v=""/>
    <s v=""/>
    <s v=""/>
    <s v=""/>
    <s v=""/>
    <s v="371616Newsletter Recipient"/>
    <m/>
    <x v="0"/>
  </r>
  <r>
    <n v="34022379"/>
    <b v="0"/>
    <b v="0"/>
    <b v="0"/>
    <b v="1"/>
    <b v="0"/>
    <b v="1"/>
    <b v="1"/>
    <b v="0"/>
    <b v="0"/>
    <n v="0"/>
    <n v="0"/>
    <m/>
    <d v="2017-06-27T00:00:00"/>
    <n v="32127162"/>
    <d v="2016-08-22T00:00:00"/>
    <m/>
    <m/>
    <s v=""/>
    <b v="0"/>
    <m/>
    <m/>
    <d v="2016-08-22T00:00:00"/>
    <m/>
    <n v="791522"/>
    <b v="1"/>
    <m/>
    <m/>
    <m/>
    <x v="0"/>
    <b v="1"/>
    <n v="34022379"/>
    <s v="Daujuana “DJ”"/>
    <s v="Paramore"/>
    <s v="CountyCare Health Plan"/>
    <s v=""/>
    <s v=""/>
    <s v="dparamore@cookcountyhhs.org"/>
    <s v="312-864-0921"/>
    <s v=""/>
    <s v=""/>
    <s v=""/>
    <s v=""/>
    <s v="312-864-0921"/>
    <s v=""/>
    <s v=""/>
    <s v="Contracting Analyst"/>
    <s v=""/>
    <s v=""/>
    <s v=""/>
    <s v=""/>
    <s v=""/>
    <s v=""/>
    <s v=""/>
    <s v="371616Newsletter Recipient"/>
    <m/>
    <x v="0"/>
  </r>
  <r>
    <n v="37779425"/>
    <b v="0"/>
    <b v="0"/>
    <b v="0"/>
    <b v="1"/>
    <b v="0"/>
    <b v="1"/>
    <b v="1"/>
    <b v="0"/>
    <b v="0"/>
    <n v="0"/>
    <n v="0"/>
    <m/>
    <d v="2017-02-21T00:00:00"/>
    <n v="32127162"/>
    <d v="2017-02-21T00:00:00"/>
    <m/>
    <m/>
    <s v=""/>
    <b v="0"/>
    <m/>
    <m/>
    <d v="2017-02-20T00:00:00"/>
    <m/>
    <n v="791522"/>
    <b v="1"/>
    <m/>
    <m/>
    <m/>
    <x v="0"/>
    <b v="1"/>
    <n v="37779425"/>
    <s v="Lindsay"/>
    <s v="Parkhurst"/>
    <s v="Illinois General Assembly"/>
    <s v=""/>
    <s v="Representative Lindsay Parkhurst (R)_x000a_79th District_x0009_ _x0009__x000a__x000a_Springfield Office:_x000a_232-N Stratton Office Building_x000a_Springfield, IL   62706_x000a_(217) 782-5981_x000a__x000a_District Office:_x000a_370 E. Court Street_x000a_Kankakee, IL  60901_x000a_(815) 523-7779"/>
    <s v=""/>
    <s v=""/>
    <s v=""/>
    <s v=""/>
    <s v=""/>
    <s v=""/>
    <s v=""/>
    <s v=""/>
    <s v=""/>
    <s v=""/>
    <s v=""/>
    <s v=""/>
    <s v=""/>
    <s v=""/>
    <s v=""/>
    <s v=""/>
    <s v=""/>
    <s v="371616Newsletter Recipient, 371627House of Representatives"/>
    <m/>
    <x v="0"/>
  </r>
  <r>
    <n v="37819879"/>
    <b v="0"/>
    <b v="0"/>
    <b v="0"/>
    <b v="1"/>
    <b v="0"/>
    <b v="1"/>
    <b v="1"/>
    <b v="0"/>
    <b v="0"/>
    <n v="0"/>
    <n v="0"/>
    <m/>
    <d v="2018-03-02T00:00:00"/>
    <n v="32127162"/>
    <d v="2017-02-24T00:00:00"/>
    <m/>
    <m/>
    <s v=""/>
    <b v="0"/>
    <m/>
    <m/>
    <d v="2017-02-24T00:00:00"/>
    <m/>
    <n v="791522"/>
    <b v="1"/>
    <m/>
    <m/>
    <m/>
    <x v="0"/>
    <b v="1"/>
    <n v="37819879"/>
    <s v="Vijay"/>
    <s v="Parthasarathy"/>
    <s v="Molina Healthcare of Illinois, Inc."/>
    <s v=""/>
    <s v=""/>
    <s v="Vijay.Parthasarathy@MolinaHealthCare.com"/>
    <s v=""/>
    <s v=""/>
    <s v=""/>
    <s v=""/>
    <s v=""/>
    <s v=""/>
    <s v=""/>
    <s v=""/>
    <s v=""/>
    <s v=""/>
    <s v=""/>
    <s v=""/>
    <s v=""/>
    <s v=""/>
    <s v=""/>
    <s v=""/>
    <s v="371616Newsletter Recipient, 372293Quality Committee, 372294Finance Committee, 428250Hospital Assessment"/>
    <m/>
    <x v="0"/>
  </r>
  <r>
    <n v="43760037"/>
    <b v="0"/>
    <b v="0"/>
    <b v="0"/>
    <b v="1"/>
    <b v="0"/>
    <b v="1"/>
    <b v="1"/>
    <b v="0"/>
    <b v="0"/>
    <n v="0"/>
    <n v="0"/>
    <m/>
    <d v="2018-02-14T00:00:00"/>
    <n v="32127162"/>
    <d v="2018-02-14T00:00:00"/>
    <m/>
    <m/>
    <s v=""/>
    <b v="0"/>
    <m/>
    <m/>
    <d v="2018-02-14T00:00:00"/>
    <m/>
    <n v="791522"/>
    <b v="1"/>
    <m/>
    <d v="2018-02-14T00:00:00"/>
    <m/>
    <x v="0"/>
    <b v="1"/>
    <n v="43760037"/>
    <s v="Kelil"/>
    <s v="Pasley"/>
    <s v="Heritage Operations Group"/>
    <s v=""/>
    <s v=""/>
    <s v="kpasley@heritageofcare.com"/>
    <s v=""/>
    <s v=""/>
    <s v=""/>
    <s v=""/>
    <s v=""/>
    <s v=""/>
    <s v=""/>
    <s v=""/>
    <s v=""/>
    <s v=""/>
    <s v=""/>
    <s v=""/>
    <s v=""/>
    <s v=""/>
    <s v=""/>
    <s v=""/>
    <s v="371616Newsletter Recipient"/>
    <m/>
    <x v="0"/>
  </r>
  <r>
    <n v="41315884"/>
    <b v="0"/>
    <b v="0"/>
    <b v="1"/>
    <b v="1"/>
    <b v="0"/>
    <b v="1"/>
    <b v="1"/>
    <b v="0"/>
    <b v="0"/>
    <n v="0"/>
    <n v="0"/>
    <m/>
    <d v="2017-09-05T00:00:00"/>
    <n v="32127162"/>
    <d v="2017-08-31T00:00:00"/>
    <d v="2017-08-31T00:00:00"/>
    <m/>
    <s v=""/>
    <b v="0"/>
    <m/>
    <m/>
    <d v="2017-09-05T00:00:00"/>
    <m/>
    <n v="791522"/>
    <b v="1"/>
    <m/>
    <m/>
    <m/>
    <x v="0"/>
    <b v="1"/>
    <n v="41315884"/>
    <s v="CHETAN"/>
    <s v="PATEL"/>
    <s v="BVM HEALTHCARE INC"/>
    <s v="PRESIDENT"/>
    <s v=""/>
    <s v="chet@bvmmedicalsupply.com"/>
    <s v="8478858800"/>
    <s v=""/>
    <s v=""/>
    <s v=""/>
    <s v=""/>
    <s v=""/>
    <s v=""/>
    <s v=""/>
    <s v=""/>
    <s v=""/>
    <s v=""/>
    <s v=""/>
    <s v=""/>
    <s v=""/>
    <s v=""/>
    <s v=""/>
    <s v="371616Newsletter Recipient"/>
    <m/>
    <x v="0"/>
  </r>
  <r>
    <n v="42039497"/>
    <b v="0"/>
    <b v="0"/>
    <b v="1"/>
    <b v="1"/>
    <b v="0"/>
    <b v="1"/>
    <b v="1"/>
    <b v="0"/>
    <b v="0"/>
    <n v="0"/>
    <n v="0"/>
    <m/>
    <d v="2018-01-12T00:00:00"/>
    <n v="32127162"/>
    <d v="2017-10-20T00:00:00"/>
    <m/>
    <m/>
    <s v=""/>
    <b v="0"/>
    <m/>
    <m/>
    <d v="2017-10-20T00:00:00"/>
    <m/>
    <n v="791522"/>
    <b v="1"/>
    <m/>
    <d v="2017-10-20T00:00:00"/>
    <m/>
    <x v="0"/>
    <b v="1"/>
    <n v="42039497"/>
    <s v="Devang"/>
    <s v="Patel"/>
    <s v="ezEMRx Inc"/>
    <s v=""/>
    <s v=""/>
    <s v="devang@ezemrx.com"/>
    <s v=""/>
    <s v=""/>
    <s v=""/>
    <s v=""/>
    <s v=""/>
    <s v=""/>
    <s v=""/>
    <s v=""/>
    <s v=""/>
    <s v=""/>
    <s v=""/>
    <s v=""/>
    <s v=""/>
    <s v=""/>
    <s v=""/>
    <s v=""/>
    <s v="371616Newsletter Recipient"/>
    <m/>
    <x v="0"/>
  </r>
  <r>
    <n v="42012266"/>
    <b v="0"/>
    <b v="0"/>
    <b v="0"/>
    <b v="1"/>
    <b v="0"/>
    <b v="1"/>
    <b v="1"/>
    <b v="0"/>
    <b v="0"/>
    <n v="0"/>
    <n v="0"/>
    <m/>
    <d v="2017-10-19T00:00:00"/>
    <n v="32127162"/>
    <d v="2017-10-19T00:00:00"/>
    <m/>
    <m/>
    <s v=""/>
    <b v="0"/>
    <m/>
    <m/>
    <d v="2017-10-19T00:00:00"/>
    <m/>
    <n v="791522"/>
    <b v="1"/>
    <m/>
    <d v="2017-10-19T00:00:00"/>
    <m/>
    <x v="0"/>
    <b v="1"/>
    <n v="42012266"/>
    <s v="Lisa"/>
    <s v="Patel"/>
    <s v="Pillars"/>
    <s v=""/>
    <s v=""/>
    <s v="lpatel@pillarscommunity.org"/>
    <s v=""/>
    <s v=""/>
    <s v=""/>
    <s v=""/>
    <s v=""/>
    <s v=""/>
    <s v=""/>
    <s v=""/>
    <s v=""/>
    <s v=""/>
    <s v=""/>
    <s v=""/>
    <s v=""/>
    <s v=""/>
    <s v=""/>
    <s v=""/>
    <s v="371616Newsletter Recipient"/>
    <m/>
    <x v="0"/>
  </r>
  <r>
    <n v="39379948"/>
    <b v="0"/>
    <b v="0"/>
    <b v="0"/>
    <b v="1"/>
    <b v="0"/>
    <b v="1"/>
    <b v="1"/>
    <b v="0"/>
    <b v="0"/>
    <n v="0"/>
    <n v="0"/>
    <m/>
    <d v="2017-06-21T00:00:00"/>
    <n v="32127162"/>
    <d v="2017-06-19T00:00:00"/>
    <m/>
    <m/>
    <s v=""/>
    <b v="0"/>
    <m/>
    <m/>
    <d v="2017-06-19T00:00:00"/>
    <m/>
    <n v="791522"/>
    <b v="1"/>
    <m/>
    <m/>
    <m/>
    <x v="0"/>
    <b v="1"/>
    <n v="39379948"/>
    <s v="Priti"/>
    <s v="Patel"/>
    <s v="Greater Elgin Family Care Center"/>
    <s v=""/>
    <s v=""/>
    <s v="ppatel@gefcc.org"/>
    <s v=""/>
    <s v=""/>
    <s v=""/>
    <s v=""/>
    <s v=""/>
    <s v=""/>
    <s v=""/>
    <s v=""/>
    <s v=""/>
    <s v=""/>
    <s v=""/>
    <s v=""/>
    <s v=""/>
    <s v=""/>
    <s v=""/>
    <s v=""/>
    <s v="371616Newsletter Recipient"/>
    <m/>
    <x v="0"/>
  </r>
  <r>
    <n v="44047262"/>
    <b v="0"/>
    <b v="0"/>
    <b v="0"/>
    <b v="1"/>
    <b v="0"/>
    <b v="1"/>
    <b v="1"/>
    <b v="0"/>
    <b v="0"/>
    <n v="0"/>
    <n v="0"/>
    <m/>
    <d v="2018-03-02T00:00:00"/>
    <n v="32127162"/>
    <d v="2018-03-02T00:00:00"/>
    <m/>
    <m/>
    <s v=""/>
    <b v="0"/>
    <m/>
    <m/>
    <d v="2018-03-02T00:00:00"/>
    <m/>
    <n v="791522"/>
    <b v="1"/>
    <m/>
    <d v="2018-03-02T00:00:00"/>
    <m/>
    <x v="0"/>
    <b v="1"/>
    <n v="44047262"/>
    <s v="George"/>
    <s v="Pavia"/>
    <s v="Health Services Advisory Group"/>
    <s v=""/>
    <s v=""/>
    <s v="gpavia@hsag.com"/>
    <s v=""/>
    <s v="R."/>
    <s v=""/>
    <s v=""/>
    <s v=""/>
    <s v=""/>
    <s v=""/>
    <s v=""/>
    <s v=""/>
    <s v=""/>
    <s v=""/>
    <s v=""/>
    <s v=""/>
    <s v=""/>
    <s v=""/>
    <s v=""/>
    <s v="371616Newsletter Recipient"/>
    <m/>
    <x v="0"/>
  </r>
  <r>
    <n v="43704895"/>
    <b v="0"/>
    <b v="0"/>
    <b v="0"/>
    <b v="1"/>
    <b v="0"/>
    <b v="1"/>
    <b v="1"/>
    <b v="0"/>
    <b v="0"/>
    <n v="0"/>
    <n v="0"/>
    <m/>
    <d v="2018-02-09T00:00:00"/>
    <n v="32127162"/>
    <d v="2018-02-09T00:00:00"/>
    <m/>
    <m/>
    <s v=""/>
    <b v="0"/>
    <m/>
    <m/>
    <d v="2018-02-09T00:00:00"/>
    <m/>
    <n v="791522"/>
    <b v="1"/>
    <m/>
    <d v="2018-02-09T00:00:00"/>
    <m/>
    <x v="0"/>
    <b v="1"/>
    <n v="43704895"/>
    <s v="Cathy"/>
    <s v="Pearson"/>
    <s v="Knox Community Health Center, NFP"/>
    <s v=""/>
    <s v=""/>
    <s v="cpearson@knoxcountyhealth.org"/>
    <s v=""/>
    <s v=""/>
    <s v=""/>
    <s v=""/>
    <s v=""/>
    <s v=""/>
    <s v=""/>
    <s v=""/>
    <s v=""/>
    <s v=""/>
    <s v=""/>
    <s v=""/>
    <s v=""/>
    <s v=""/>
    <s v=""/>
    <s v=""/>
    <s v="371616Newsletter Recipient"/>
    <m/>
    <x v="0"/>
  </r>
  <r>
    <n v="42784624"/>
    <b v="0"/>
    <b v="0"/>
    <b v="1"/>
    <b v="1"/>
    <b v="0"/>
    <b v="1"/>
    <b v="1"/>
    <b v="0"/>
    <b v="0"/>
    <n v="0"/>
    <n v="0"/>
    <m/>
    <d v="2017-12-18T00:00:00"/>
    <n v="32127162"/>
    <d v="2017-11-30T00:00:00"/>
    <d v="2017-11-30T00:00:00"/>
    <m/>
    <s v=""/>
    <b v="0"/>
    <m/>
    <m/>
    <d v="2017-12-18T00:00:00"/>
    <m/>
    <n v="791522"/>
    <b v="1"/>
    <m/>
    <d v="2017-12-18T00:00:00"/>
    <m/>
    <x v="0"/>
    <b v="1"/>
    <n v="42784624"/>
    <s v="Joshua"/>
    <s v="Pearson"/>
    <s v="Preferred Family Healthcare, Inc."/>
    <s v="Billing Program Director"/>
    <s v=""/>
    <s v="jpearson@pfh.org"/>
    <s v="660-626-0646"/>
    <s v=""/>
    <s v=""/>
    <s v=""/>
    <s v=""/>
    <s v=""/>
    <s v=""/>
    <s v=""/>
    <s v=""/>
    <s v=""/>
    <s v=""/>
    <s v=""/>
    <s v=""/>
    <s v=""/>
    <s v=""/>
    <s v=""/>
    <s v="371616Newsletter Recipient"/>
    <m/>
    <x v="0"/>
  </r>
  <r>
    <n v="43728333"/>
    <b v="0"/>
    <b v="0"/>
    <b v="0"/>
    <b v="1"/>
    <b v="0"/>
    <b v="1"/>
    <b v="1"/>
    <b v="0"/>
    <b v="0"/>
    <n v="0"/>
    <n v="0"/>
    <m/>
    <d v="2018-02-12T00:00:00"/>
    <n v="32127162"/>
    <d v="2018-02-12T00:00:00"/>
    <m/>
    <m/>
    <s v=""/>
    <b v="0"/>
    <m/>
    <m/>
    <d v="2018-02-12T00:00:00"/>
    <m/>
    <n v="791522"/>
    <b v="1"/>
    <m/>
    <d v="2018-02-12T00:00:00"/>
    <m/>
    <x v="0"/>
    <b v="1"/>
    <n v="43728333"/>
    <s v="Stephanie"/>
    <s v="Peden-Fox"/>
    <s v="Blue Cross Blue Shield of Illinois"/>
    <s v=""/>
    <s v=""/>
    <s v="stephanie_peden-fox@bcbsil.com"/>
    <s v=""/>
    <s v=""/>
    <s v=""/>
    <s v=""/>
    <s v=""/>
    <s v=""/>
    <s v=""/>
    <s v=""/>
    <s v=""/>
    <s v=""/>
    <s v=""/>
    <s v=""/>
    <s v=""/>
    <s v=""/>
    <s v=""/>
    <s v=""/>
    <s v="371616Newsletter Recipient"/>
    <m/>
    <x v="0"/>
  </r>
  <r>
    <n v="37822848"/>
    <b v="0"/>
    <b v="0"/>
    <b v="0"/>
    <b v="1"/>
    <b v="0"/>
    <b v="1"/>
    <b v="1"/>
    <b v="0"/>
    <b v="0"/>
    <n v="0"/>
    <n v="0"/>
    <m/>
    <d v="2017-02-24T00:00:00"/>
    <n v="32127162"/>
    <d v="2017-02-24T00:00:00"/>
    <m/>
    <m/>
    <s v=""/>
    <b v="0"/>
    <m/>
    <m/>
    <d v="2017-02-24T00:00:00"/>
    <m/>
    <n v="791522"/>
    <b v="1"/>
    <m/>
    <m/>
    <m/>
    <x v="0"/>
    <b v="1"/>
    <n v="37822848"/>
    <s v="John"/>
    <s v="Peller"/>
    <s v="AIDS Foundation of Chicago"/>
    <s v=""/>
    <s v=""/>
    <s v="jpeller@aidschicago.org"/>
    <s v=""/>
    <s v=""/>
    <s v=""/>
    <s v=""/>
    <s v=""/>
    <s v=""/>
    <s v=""/>
    <s v=""/>
    <s v=""/>
    <s v=""/>
    <s v=""/>
    <s v=""/>
    <s v=""/>
    <s v=""/>
    <s v=""/>
    <s v=""/>
    <s v="371616Newsletter Recipient"/>
    <m/>
    <x v="0"/>
  </r>
  <r>
    <n v="37822749"/>
    <b v="0"/>
    <b v="0"/>
    <b v="0"/>
    <b v="1"/>
    <b v="0"/>
    <b v="1"/>
    <b v="1"/>
    <b v="0"/>
    <b v="0"/>
    <n v="0"/>
    <n v="0"/>
    <m/>
    <d v="2017-02-24T00:00:00"/>
    <n v="32127162"/>
    <d v="2017-02-24T00:00:00"/>
    <m/>
    <m/>
    <s v=""/>
    <b v="0"/>
    <m/>
    <m/>
    <d v="2017-02-24T00:00:00"/>
    <m/>
    <n v="791522"/>
    <b v="1"/>
    <m/>
    <m/>
    <m/>
    <x v="0"/>
    <b v="1"/>
    <n v="37822749"/>
    <s v="Marta"/>
    <s v="Pereyra"/>
    <s v="Coalition of Limited English Speaking Elderly"/>
    <s v=""/>
    <s v=""/>
    <s v="marta@clese.org"/>
    <s v="312/461-0812"/>
    <s v=""/>
    <s v=""/>
    <s v=""/>
    <s v=""/>
    <s v=""/>
    <s v=""/>
    <s v=""/>
    <s v=""/>
    <s v=""/>
    <s v=""/>
    <s v=""/>
    <s v=""/>
    <s v=""/>
    <s v=""/>
    <s v=""/>
    <s v="371616Newsletter Recipient"/>
    <m/>
    <x v="0"/>
  </r>
  <r>
    <n v="34033719"/>
    <b v="0"/>
    <b v="0"/>
    <b v="0"/>
    <b v="1"/>
    <b v="0"/>
    <b v="1"/>
    <b v="1"/>
    <b v="0"/>
    <b v="0"/>
    <n v="0"/>
    <n v="0"/>
    <m/>
    <d v="2018-06-26T00:00:00"/>
    <n v="32127162"/>
    <d v="2016-08-23T00:00:00"/>
    <m/>
    <m/>
    <s v=""/>
    <b v="0"/>
    <m/>
    <m/>
    <d v="2016-08-23T00:00:00"/>
    <m/>
    <n v="791522"/>
    <b v="1"/>
    <m/>
    <m/>
    <m/>
    <x v="0"/>
    <b v="1"/>
    <n v="34033719"/>
    <s v="Angela"/>
    <s v="Perry, MD"/>
    <s v="IlliniCare Health"/>
    <s v=""/>
    <s v=""/>
    <s v="AnPerry@illinicare.com"/>
    <s v="312-674-6167"/>
    <s v=""/>
    <s v=""/>
    <s v=""/>
    <s v=""/>
    <s v=""/>
    <s v=""/>
    <s v=""/>
    <s v=""/>
    <s v=""/>
    <s v=""/>
    <s v=""/>
    <s v=""/>
    <s v=""/>
    <s v=""/>
    <s v=""/>
    <s v="335744Chief Medical Officer, 371616Newsletter Recipient, 372292Medical Directors, 372293Quality Committee, 443813Discharge Planning"/>
    <m/>
    <x v="0"/>
  </r>
  <r>
    <n v="37819881"/>
    <b v="0"/>
    <b v="0"/>
    <b v="0"/>
    <b v="1"/>
    <b v="0"/>
    <b v="1"/>
    <b v="1"/>
    <b v="0"/>
    <b v="0"/>
    <n v="0"/>
    <n v="0"/>
    <m/>
    <d v="2017-02-24T00:00:00"/>
    <n v="32127162"/>
    <d v="2017-02-24T00:00:00"/>
    <m/>
    <m/>
    <s v=""/>
    <b v="0"/>
    <m/>
    <m/>
    <d v="2017-02-24T00:00:00"/>
    <m/>
    <n v="791522"/>
    <b v="1"/>
    <m/>
    <m/>
    <m/>
    <x v="0"/>
    <b v="1"/>
    <n v="37819881"/>
    <s v="Adam"/>
    <s v="Peters"/>
    <s v="IlliniCare Health"/>
    <s v=""/>
    <s v=""/>
    <s v="apeters@centene.com"/>
    <s v=""/>
    <s v=""/>
    <s v=""/>
    <s v=""/>
    <s v=""/>
    <s v=""/>
    <s v=""/>
    <s v=""/>
    <s v="(Acting) Provider Relations"/>
    <s v=""/>
    <s v=""/>
    <s v=""/>
    <s v=""/>
    <s v=""/>
    <s v=""/>
    <s v=""/>
    <s v="371616Newsletter Recipient"/>
    <m/>
    <x v="0"/>
  </r>
  <r>
    <n v="41723017"/>
    <b v="0"/>
    <b v="0"/>
    <b v="0"/>
    <b v="1"/>
    <b v="0"/>
    <b v="1"/>
    <b v="1"/>
    <b v="0"/>
    <b v="0"/>
    <n v="0"/>
    <n v="0"/>
    <m/>
    <d v="2018-02-12T00:00:00"/>
    <n v="32127162"/>
    <d v="2017-09-22T00:00:00"/>
    <m/>
    <m/>
    <s v=""/>
    <b v="0"/>
    <m/>
    <m/>
    <d v="2017-09-22T00:00:00"/>
    <m/>
    <n v="791522"/>
    <b v="1"/>
    <m/>
    <d v="2017-09-22T00:00:00"/>
    <m/>
    <x v="0"/>
    <b v="1"/>
    <n v="41723017"/>
    <s v="Louanner"/>
    <s v="Peters"/>
    <s v="Healthcare Consortium of Illinois"/>
    <s v=""/>
    <s v=""/>
    <s v="lpeters@hcionline.org"/>
    <s v=""/>
    <s v=""/>
    <s v=""/>
    <s v=""/>
    <s v=""/>
    <s v=""/>
    <s v=""/>
    <s v=""/>
    <s v=""/>
    <s v=""/>
    <s v=""/>
    <s v=""/>
    <s v=""/>
    <s v=""/>
    <s v=""/>
    <s v=""/>
    <s v="371616Newsletter Recipient"/>
    <m/>
    <x v="0"/>
  </r>
  <r>
    <n v="42366307"/>
    <b v="0"/>
    <b v="0"/>
    <b v="0"/>
    <b v="1"/>
    <b v="0"/>
    <b v="1"/>
    <b v="1"/>
    <b v="0"/>
    <b v="0"/>
    <n v="0"/>
    <n v="0"/>
    <m/>
    <d v="2018-02-12T00:00:00"/>
    <n v="32127162"/>
    <d v="2017-10-31T00:00:00"/>
    <m/>
    <m/>
    <s v=""/>
    <b v="0"/>
    <m/>
    <m/>
    <d v="2017-10-31T00:00:00"/>
    <m/>
    <n v="791522"/>
    <b v="1"/>
    <m/>
    <d v="2017-10-31T00:00:00"/>
    <m/>
    <x v="0"/>
    <b v="1"/>
    <n v="42366307"/>
    <s v="Raymond"/>
    <s v="Peterson"/>
    <s v="Independent Living Systems"/>
    <s v=""/>
    <s v=""/>
    <s v="rpeterson@ilshealth.com"/>
    <s v=""/>
    <s v=""/>
    <s v=""/>
    <s v=""/>
    <s v=""/>
    <s v=""/>
    <s v=""/>
    <s v=""/>
    <s v=""/>
    <s v=""/>
    <s v=""/>
    <s v=""/>
    <s v=""/>
    <s v=""/>
    <s v=""/>
    <s v=""/>
    <s v="371616Newsletter Recipient"/>
    <m/>
    <x v="0"/>
  </r>
  <r>
    <n v="37822726"/>
    <b v="0"/>
    <b v="0"/>
    <b v="0"/>
    <b v="1"/>
    <b v="0"/>
    <b v="1"/>
    <b v="1"/>
    <b v="0"/>
    <b v="0"/>
    <n v="0"/>
    <n v="0"/>
    <m/>
    <d v="2018-02-13T00:00:00"/>
    <n v="32127162"/>
    <d v="2017-02-24T00:00:00"/>
    <m/>
    <m/>
    <s v=""/>
    <b v="0"/>
    <m/>
    <m/>
    <d v="2017-02-24T00:00:00"/>
    <m/>
    <n v="791522"/>
    <b v="1"/>
    <m/>
    <m/>
    <m/>
    <x v="0"/>
    <b v="1"/>
    <n v="37822726"/>
    <s v="Laura"/>
    <s v="Phelan"/>
    <s v="Illinois Department of Healthcare and Family Services (HFS)"/>
    <s v=""/>
    <s v=""/>
    <s v="laura.phelan@illinois.gov"/>
    <s v=""/>
    <s v=""/>
    <s v=""/>
    <s v=""/>
    <s v=""/>
    <s v=""/>
    <s v=""/>
    <s v=""/>
    <s v=""/>
    <s v=""/>
    <s v=""/>
    <s v=""/>
    <s v=""/>
    <s v=""/>
    <s v=""/>
    <s v=""/>
    <s v="371616Newsletter Recipient"/>
    <m/>
    <x v="0"/>
  </r>
  <r>
    <n v="37779427"/>
    <b v="0"/>
    <b v="0"/>
    <b v="0"/>
    <b v="1"/>
    <b v="0"/>
    <b v="1"/>
    <b v="1"/>
    <b v="0"/>
    <b v="0"/>
    <n v="0"/>
    <n v="0"/>
    <m/>
    <d v="2017-02-24T00:00:00"/>
    <n v="32127162"/>
    <d v="2017-02-21T00:00:00"/>
    <m/>
    <m/>
    <s v=""/>
    <b v="0"/>
    <m/>
    <m/>
    <d v="2017-02-20T00:00:00"/>
    <m/>
    <n v="791522"/>
    <b v="1"/>
    <m/>
    <m/>
    <m/>
    <x v="0"/>
    <b v="1"/>
    <n v="37779427"/>
    <s v="Brandon"/>
    <s v="Phelps"/>
    <s v="Illinois General Assembly"/>
    <s v=""/>
    <s v="Representative Brandon W. Phelps (D)_x000a_118th District _x0009__x000a__x000a_Springfield Office:_x000a_200-9S Stratton Office Building_x000a_Springfield, IL   62706_x000a_(217) 782-5131_x000a__x000a_District Office:_x000a_607 S. Commercial St._x000a_Suite B_x000a_Harrisburg, IL  62946_x000a_(618) 253-4189_x000a_(618) 253-3136 FAX"/>
    <s v="bphelps118@gmail.com"/>
    <s v=""/>
    <s v=""/>
    <s v=""/>
    <s v=""/>
    <s v=""/>
    <s v=""/>
    <s v=""/>
    <s v=""/>
    <s v=""/>
    <s v=""/>
    <s v=""/>
    <s v=""/>
    <s v=""/>
    <s v=""/>
    <s v=""/>
    <s v=""/>
    <s v="371616Newsletter Recipient, 371627House of Representatives"/>
    <m/>
    <x v="0"/>
  </r>
  <r>
    <n v="34090712"/>
    <b v="0"/>
    <b v="0"/>
    <b v="0"/>
    <b v="1"/>
    <b v="0"/>
    <b v="1"/>
    <b v="1"/>
    <b v="0"/>
    <b v="0"/>
    <n v="0"/>
    <n v="0"/>
    <m/>
    <d v="2018-05-04T00:00:00"/>
    <n v="32127162"/>
    <d v="2016-08-29T00:00:00"/>
    <m/>
    <m/>
    <s v=""/>
    <b v="0"/>
    <m/>
    <m/>
    <d v="2016-08-29T00:00:00"/>
    <m/>
    <n v="791522"/>
    <b v="1"/>
    <m/>
    <m/>
    <m/>
    <x v="0"/>
    <b v="1"/>
    <n v="34090712"/>
    <s v="Claudia"/>
    <s v="Phillips"/>
    <s v="Harmony Health Plan of Illinois - A WellCare Company"/>
    <s v=""/>
    <s v=""/>
    <s v="Claudia.Phillips@wellcare.com"/>
    <s v=""/>
    <s v=""/>
    <s v=""/>
    <s v=""/>
    <s v=""/>
    <s v=""/>
    <s v=""/>
    <s v=""/>
    <s v=""/>
    <s v=""/>
    <s v=""/>
    <s v=""/>
    <s v=""/>
    <s v=""/>
    <s v=""/>
    <s v=""/>
    <s v="371616Newsletter Recipient"/>
    <m/>
    <x v="0"/>
  </r>
  <r>
    <n v="37779431"/>
    <b v="0"/>
    <b v="0"/>
    <b v="0"/>
    <b v="1"/>
    <b v="0"/>
    <b v="1"/>
    <b v="1"/>
    <b v="0"/>
    <b v="0"/>
    <n v="0"/>
    <n v="0"/>
    <m/>
    <d v="2017-02-24T00:00:00"/>
    <n v="32127162"/>
    <d v="2017-02-21T00:00:00"/>
    <m/>
    <m/>
    <s v=""/>
    <b v="0"/>
    <m/>
    <m/>
    <d v="2017-02-20T00:00:00"/>
    <m/>
    <n v="791522"/>
    <b v="1"/>
    <m/>
    <m/>
    <m/>
    <x v="0"/>
    <b v="1"/>
    <n v="37779431"/>
    <s v="Reginald"/>
    <s v="Phillips"/>
    <s v="Illinois General Assembly"/>
    <s v=""/>
    <s v="Representative Reginald Phillips (R)_x000a_110th District _x0009__x000a__x000a_Springfield Office:_x000a_200-1N Stratton Office Building_x000a_Springfield, IL   62706_x000a_(217) 558-1040_x000a__x000a_District Office:_x000a_(217) 348-1110"/>
    <s v="staterepphillips@gmail.com"/>
    <s v=""/>
    <s v=""/>
    <s v=""/>
    <s v=""/>
    <s v=""/>
    <s v=""/>
    <s v=""/>
    <s v=""/>
    <s v=""/>
    <s v=""/>
    <s v=""/>
    <s v=""/>
    <s v=""/>
    <s v=""/>
    <s v=""/>
    <s v=""/>
    <s v="371616Newsletter Recipient, 371627House of Representatives"/>
    <m/>
    <x v="0"/>
  </r>
  <r>
    <n v="42676269"/>
    <b v="0"/>
    <b v="0"/>
    <b v="0"/>
    <b v="1"/>
    <b v="0"/>
    <b v="1"/>
    <b v="1"/>
    <b v="0"/>
    <b v="0"/>
    <n v="0"/>
    <n v="0"/>
    <m/>
    <d v="2017-11-17T00:00:00"/>
    <n v="32127162"/>
    <d v="2017-11-17T00:00:00"/>
    <m/>
    <m/>
    <s v=""/>
    <b v="0"/>
    <m/>
    <m/>
    <d v="2017-11-17T00:00:00"/>
    <m/>
    <n v="791522"/>
    <b v="1"/>
    <m/>
    <d v="2017-11-17T00:00:00"/>
    <m/>
    <x v="0"/>
    <b v="1"/>
    <n v="42676269"/>
    <s v="Will"/>
    <s v="Phillips"/>
    <s v="Presence Health"/>
    <s v=""/>
    <s v=""/>
    <s v="wphillips@presencehealth.org"/>
    <s v=""/>
    <s v=""/>
    <s v=""/>
    <s v=""/>
    <s v=""/>
    <s v=""/>
    <s v=""/>
    <s v="Presence Health"/>
    <s v=""/>
    <s v=""/>
    <s v=""/>
    <s v=""/>
    <s v=""/>
    <s v=""/>
    <s v=""/>
    <s v=""/>
    <s v="371616Newsletter Recipient"/>
    <m/>
    <x v="0"/>
  </r>
  <r>
    <n v="34088072"/>
    <b v="0"/>
    <b v="0"/>
    <b v="0"/>
    <b v="1"/>
    <b v="0"/>
    <b v="1"/>
    <b v="1"/>
    <b v="0"/>
    <b v="0"/>
    <n v="0"/>
    <n v="0"/>
    <m/>
    <d v="2018-06-28T00:00:00"/>
    <n v="32127162"/>
    <d v="2016-08-29T00:00:00"/>
    <m/>
    <m/>
    <s v=""/>
    <b v="0"/>
    <m/>
    <m/>
    <d v="2016-08-29T00:00:00"/>
    <m/>
    <n v="791522"/>
    <b v="1"/>
    <m/>
    <m/>
    <m/>
    <x v="0"/>
    <b v="1"/>
    <n v="34088072"/>
    <s v="Jessica"/>
    <s v="Pickens"/>
    <s v="NextLevel Health"/>
    <s v=""/>
    <s v=""/>
    <s v="Jessica.Pickens@nlhpartners.com"/>
    <s v="312-300-5780 ext 490"/>
    <s v=""/>
    <s v=""/>
    <s v=""/>
    <s v=""/>
    <s v=""/>
    <s v=""/>
    <s v=""/>
    <s v=""/>
    <s v=""/>
    <s v=""/>
    <s v=""/>
    <s v=""/>
    <s v=""/>
    <s v=""/>
    <s v=""/>
    <s v="335736Provider Relations - Committee Members, 335741Chief Executive Officer, 371616Newsletter Recipient, 372293Quality Committee, 372294Finance Committee, 372295Board of Directors/General Distribution List, 372296Legislative Committee, 372297Operations Committee, 372298Operations Transportation Subcommittee, 372306Marketing Committee, 372312IHA-IAMHP Working Group, 3767711115 Workgroup, 420889Executive Committee, 420911IAMHP Leadership, 428250Hospital Assessment, 428788Pharmacy Director Committee, 441580Compliance Committee, 443813Discharge Planning, 443814Billing Working Group, 447857HFS Ops Workgroup"/>
    <m/>
    <x v="0"/>
  </r>
  <r>
    <n v="39537527"/>
    <b v="0"/>
    <b v="0"/>
    <b v="0"/>
    <b v="1"/>
    <b v="0"/>
    <b v="1"/>
    <b v="1"/>
    <b v="0"/>
    <b v="0"/>
    <n v="0"/>
    <n v="0"/>
    <m/>
    <d v="2018-05-09T00:00:00"/>
    <n v="32127162"/>
    <d v="2017-06-28T00:00:00"/>
    <m/>
    <m/>
    <s v=""/>
    <b v="0"/>
    <m/>
    <m/>
    <d v="2017-06-28T00:00:00"/>
    <m/>
    <n v="791522"/>
    <b v="1"/>
    <m/>
    <m/>
    <m/>
    <x v="0"/>
    <b v="1"/>
    <n v="39537527"/>
    <s v="Pawel"/>
    <s v="Piechocinski"/>
    <s v="IlliniCare Health"/>
    <s v=""/>
    <s v=""/>
    <s v="Pawel.Piechocinski@centene.com"/>
    <s v="866.329.4701 ext 47917"/>
    <s v=""/>
    <s v=""/>
    <s v=""/>
    <s v=""/>
    <s v=""/>
    <s v=""/>
    <s v=""/>
    <s v=""/>
    <s v=""/>
    <s v=""/>
    <s v=""/>
    <s v=""/>
    <s v=""/>
    <s v=""/>
    <s v=""/>
    <s v="371616Newsletter Recipient, 372314Pharmacy Director, 420970Pharmacy/Pharmaceuticals - Contracts, 420971Pharmacy/Pharmaceuticals - Claims &amp; Billing, 420972Pharmacy/Pharmaceuticals - Care Coordination, 428788Pharmacy Director Committee"/>
    <s v="10633525Contracts, 10633526Claims/Billing, 10633527Care Coordination"/>
    <x v="0"/>
  </r>
  <r>
    <n v="41748376"/>
    <b v="0"/>
    <b v="0"/>
    <b v="0"/>
    <b v="1"/>
    <b v="0"/>
    <b v="1"/>
    <b v="1"/>
    <b v="0"/>
    <b v="0"/>
    <n v="0"/>
    <n v="0"/>
    <m/>
    <d v="2018-05-29T00:00:00"/>
    <n v="32127162"/>
    <d v="2017-09-26T00:00:00"/>
    <m/>
    <m/>
    <s v=""/>
    <b v="0"/>
    <m/>
    <m/>
    <d v="2017-09-26T00:00:00"/>
    <m/>
    <n v="791522"/>
    <b v="1"/>
    <m/>
    <d v="2017-09-26T00:00:00"/>
    <m/>
    <x v="0"/>
    <b v="1"/>
    <n v="41748376"/>
    <s v="Ben"/>
    <s v="Pierce"/>
    <s v="Blue Cross Blue Shield"/>
    <s v=""/>
    <s v=""/>
    <s v="benjamin_d_pierce@bcbsil.com"/>
    <s v=""/>
    <s v=""/>
    <s v=""/>
    <s v=""/>
    <s v=""/>
    <s v=""/>
    <s v=""/>
    <s v=""/>
    <s v=""/>
    <s v=""/>
    <s v=""/>
    <s v=""/>
    <s v=""/>
    <s v=""/>
    <s v=""/>
    <s v=""/>
    <s v="371616Newsletter Recipient, 372297Operations Committee, 443814Billing Working Group, 447857HFS Ops Workgroup"/>
    <m/>
    <x v="0"/>
  </r>
  <r>
    <n v="37819886"/>
    <b v="0"/>
    <b v="0"/>
    <b v="0"/>
    <b v="1"/>
    <b v="0"/>
    <b v="1"/>
    <b v="1"/>
    <b v="0"/>
    <b v="0"/>
    <n v="0"/>
    <n v="0"/>
    <m/>
    <d v="2017-02-24T00:00:00"/>
    <n v="32127162"/>
    <d v="2017-02-24T00:00:00"/>
    <m/>
    <m/>
    <s v=""/>
    <b v="0"/>
    <m/>
    <m/>
    <d v="2017-02-24T00:00:00"/>
    <m/>
    <n v="791522"/>
    <b v="1"/>
    <m/>
    <m/>
    <m/>
    <x v="0"/>
    <b v="1"/>
    <n v="37819886"/>
    <s v="Ena"/>
    <s v="Pierce"/>
    <s v="Alegis"/>
    <s v=""/>
    <s v=""/>
    <s v="ena.pierce@alegiscare.com"/>
    <s v=""/>
    <s v=""/>
    <s v=""/>
    <s v=""/>
    <s v=""/>
    <s v=""/>
    <s v=""/>
    <s v=""/>
    <s v="Operations Senior Director"/>
    <s v=""/>
    <s v=""/>
    <s v=""/>
    <s v=""/>
    <s v=""/>
    <s v=""/>
    <s v=""/>
    <s v="371616Newsletter Recipient"/>
    <m/>
    <x v="0"/>
  </r>
  <r>
    <n v="42678188"/>
    <b v="0"/>
    <b v="0"/>
    <b v="0"/>
    <b v="1"/>
    <b v="0"/>
    <b v="1"/>
    <b v="1"/>
    <b v="0"/>
    <b v="0"/>
    <n v="0"/>
    <n v="0"/>
    <m/>
    <d v="2018-02-12T00:00:00"/>
    <n v="32127162"/>
    <d v="2017-11-17T00:00:00"/>
    <m/>
    <m/>
    <s v=""/>
    <b v="0"/>
    <m/>
    <m/>
    <d v="2017-11-17T00:00:00"/>
    <m/>
    <n v="791522"/>
    <b v="1"/>
    <m/>
    <d v="2017-11-17T00:00:00"/>
    <m/>
    <x v="0"/>
    <b v="1"/>
    <n v="42678188"/>
    <s v="Randi"/>
    <s v="Pierce"/>
    <s v="Harrisburg Medical Center"/>
    <s v=""/>
    <s v=""/>
    <s v="rpierce@harrisburgmc.com"/>
    <s v=""/>
    <s v=""/>
    <s v=""/>
    <s v=""/>
    <s v=""/>
    <s v=""/>
    <s v=""/>
    <s v="Harrisburg Medical Center"/>
    <s v=""/>
    <s v=""/>
    <s v=""/>
    <s v=""/>
    <s v=""/>
    <s v=""/>
    <s v=""/>
    <s v=""/>
    <s v="371616Newsletter Recipient"/>
    <m/>
    <x v="0"/>
  </r>
  <r>
    <n v="43339892"/>
    <b v="0"/>
    <b v="0"/>
    <b v="0"/>
    <b v="1"/>
    <b v="0"/>
    <b v="1"/>
    <b v="1"/>
    <b v="0"/>
    <b v="0"/>
    <n v="0"/>
    <n v="0"/>
    <m/>
    <d v="2018-01-18T00:00:00"/>
    <n v="32127162"/>
    <d v="2018-01-18T00:00:00"/>
    <m/>
    <m/>
    <s v=""/>
    <b v="0"/>
    <m/>
    <m/>
    <d v="2018-01-18T00:00:00"/>
    <m/>
    <n v="791522"/>
    <b v="1"/>
    <m/>
    <d v="2018-01-18T00:00:00"/>
    <m/>
    <x v="0"/>
    <b v="1"/>
    <n v="43339892"/>
    <s v="Amy"/>
    <s v="Piggee"/>
    <s v="Douglas Health and Rehabilitation"/>
    <s v=""/>
    <s v=""/>
    <s v="amy.piggee@richterhc.com"/>
    <s v=""/>
    <s v=""/>
    <s v=""/>
    <s v=""/>
    <s v=""/>
    <s v=""/>
    <s v=""/>
    <s v=""/>
    <s v=""/>
    <s v=""/>
    <s v=""/>
    <s v=""/>
    <s v=""/>
    <s v=""/>
    <s v=""/>
    <s v=""/>
    <s v="371616Newsletter Recipient"/>
    <m/>
    <x v="0"/>
  </r>
  <r>
    <n v="37822763"/>
    <b v="0"/>
    <b v="0"/>
    <b v="0"/>
    <b v="1"/>
    <b v="0"/>
    <b v="1"/>
    <b v="1"/>
    <b v="0"/>
    <b v="0"/>
    <n v="0"/>
    <n v="0"/>
    <m/>
    <d v="2017-02-24T00:00:00"/>
    <n v="32127162"/>
    <d v="2017-02-24T00:00:00"/>
    <m/>
    <m/>
    <s v=""/>
    <b v="0"/>
    <m/>
    <m/>
    <d v="2017-02-24T00:00:00"/>
    <m/>
    <n v="791522"/>
    <b v="1"/>
    <m/>
    <m/>
    <m/>
    <x v="0"/>
    <b v="1"/>
    <n v="37822763"/>
    <s v="Jeannie"/>
    <s v="Pinkwater"/>
    <s v="Illinois Chapter, American Academy of Pediatrics"/>
    <s v=""/>
    <s v=""/>
    <s v="jpinkwater@illinoisaap.com"/>
    <s v="312/733-1026 x213"/>
    <s v=""/>
    <s v="MNM"/>
    <s v=""/>
    <s v=""/>
    <s v=""/>
    <s v=""/>
    <s v=""/>
    <s v=""/>
    <s v=""/>
    <s v=""/>
    <s v=""/>
    <s v=""/>
    <s v=""/>
    <s v=""/>
    <s v=""/>
    <s v="371616Newsletter Recipient"/>
    <m/>
    <x v="0"/>
  </r>
  <r>
    <n v="44047415"/>
    <b v="0"/>
    <b v="0"/>
    <b v="0"/>
    <b v="1"/>
    <b v="0"/>
    <b v="1"/>
    <b v="1"/>
    <b v="0"/>
    <b v="0"/>
    <n v="0"/>
    <n v="0"/>
    <m/>
    <d v="2018-03-02T00:00:00"/>
    <n v="32127162"/>
    <d v="2018-03-02T00:00:00"/>
    <m/>
    <m/>
    <s v=""/>
    <b v="0"/>
    <m/>
    <m/>
    <d v="2018-03-02T00:00:00"/>
    <m/>
    <n v="791522"/>
    <b v="1"/>
    <m/>
    <d v="2018-03-02T00:00:00"/>
    <m/>
    <x v="0"/>
    <b v="1"/>
    <n v="44047415"/>
    <s v="Jessica"/>
    <s v="Pipersburgh"/>
    <s v="HCSC"/>
    <s v=""/>
    <s v=""/>
    <s v="jessica_pipersburgh@bcbsil.com"/>
    <s v=""/>
    <s v=""/>
    <s v=""/>
    <s v=""/>
    <s v=""/>
    <s v=""/>
    <s v=""/>
    <s v=""/>
    <s v=""/>
    <s v=""/>
    <s v=""/>
    <s v=""/>
    <s v=""/>
    <s v=""/>
    <s v=""/>
    <s v=""/>
    <s v="371616Newsletter Recipient"/>
    <m/>
    <x v="0"/>
  </r>
  <r>
    <n v="34021084"/>
    <b v="0"/>
    <b v="0"/>
    <b v="0"/>
    <b v="1"/>
    <b v="0"/>
    <b v="1"/>
    <b v="1"/>
    <b v="0"/>
    <b v="0"/>
    <n v="0"/>
    <n v="0"/>
    <m/>
    <d v="2018-04-12T00:00:00"/>
    <n v="32127162"/>
    <d v="2016-08-22T00:00:00"/>
    <m/>
    <m/>
    <s v=""/>
    <b v="0"/>
    <m/>
    <m/>
    <d v="2016-08-22T00:00:00"/>
    <m/>
    <n v="791522"/>
    <b v="1"/>
    <m/>
    <m/>
    <m/>
    <x v="0"/>
    <b v="1"/>
    <n v="34021084"/>
    <s v="Terri"/>
    <s v="Pokraka, RN"/>
    <s v="Blue Cross Blue Shield of Illinois"/>
    <s v=""/>
    <s v=""/>
    <s v="Terri_Pokraka@bcbsil.com"/>
    <s v="312-653-6674"/>
    <s v=""/>
    <s v=""/>
    <s v=""/>
    <s v=""/>
    <s v=""/>
    <s v=""/>
    <s v="Blue Cross Blue Shield of Illinois"/>
    <s v="Quality Director Government Programs"/>
    <s v=""/>
    <s v=""/>
    <s v=""/>
    <s v=""/>
    <s v=""/>
    <s v=""/>
    <s v=""/>
    <s v="335745Quality Directors, 371616Newsletter Recipient, 372293Quality Committee"/>
    <m/>
    <x v="0"/>
  </r>
  <r>
    <n v="37819887"/>
    <b v="0"/>
    <b v="0"/>
    <b v="0"/>
    <b v="1"/>
    <b v="0"/>
    <b v="1"/>
    <b v="1"/>
    <b v="0"/>
    <b v="0"/>
    <n v="0"/>
    <n v="0"/>
    <m/>
    <d v="2017-02-24T00:00:00"/>
    <n v="32127162"/>
    <d v="2017-02-24T00:00:00"/>
    <m/>
    <m/>
    <s v=""/>
    <b v="0"/>
    <m/>
    <m/>
    <d v="2017-02-24T00:00:00"/>
    <m/>
    <n v="791522"/>
    <b v="1"/>
    <m/>
    <m/>
    <m/>
    <x v="0"/>
    <b v="1"/>
    <n v="37819887"/>
    <s v="Patrick"/>
    <s v="Poland"/>
    <s v="Harmony Health Plan of Illinois - A WellCare Company"/>
    <s v=""/>
    <s v=""/>
    <s v="patrick.poland@wellcare.com"/>
    <s v=""/>
    <s v=""/>
    <s v=""/>
    <s v=""/>
    <s v=""/>
    <s v=""/>
    <s v=""/>
    <s v=""/>
    <s v=""/>
    <s v=""/>
    <s v=""/>
    <s v=""/>
    <s v=""/>
    <s v=""/>
    <s v=""/>
    <s v=""/>
    <s v="371616Newsletter Recipient"/>
    <m/>
    <x v="0"/>
  </r>
  <r>
    <n v="37819889"/>
    <b v="0"/>
    <b v="0"/>
    <b v="0"/>
    <b v="1"/>
    <b v="0"/>
    <b v="1"/>
    <b v="1"/>
    <b v="0"/>
    <b v="0"/>
    <n v="0"/>
    <n v="0"/>
    <m/>
    <d v="2017-02-24T00:00:00"/>
    <n v="32127162"/>
    <d v="2017-02-24T00:00:00"/>
    <m/>
    <m/>
    <s v=""/>
    <b v="0"/>
    <m/>
    <m/>
    <d v="2017-02-24T00:00:00"/>
    <m/>
    <n v="791522"/>
    <b v="1"/>
    <m/>
    <m/>
    <m/>
    <x v="0"/>
    <b v="1"/>
    <n v="37819889"/>
    <s v="Diane"/>
    <s v="Poling"/>
    <s v="Molina Healthcare of Illinois, Inc."/>
    <s v=""/>
    <s v=""/>
    <s v="Diane.Poling@MolinaHealthCare.com"/>
    <s v=""/>
    <s v=""/>
    <s v=""/>
    <s v=""/>
    <s v=""/>
    <s v=""/>
    <s v=""/>
    <s v=""/>
    <s v=""/>
    <s v=""/>
    <s v=""/>
    <s v=""/>
    <s v=""/>
    <s v=""/>
    <s v=""/>
    <s v=""/>
    <s v="371616Newsletter Recipient"/>
    <m/>
    <x v="0"/>
  </r>
  <r>
    <n v="43488650"/>
    <b v="0"/>
    <b v="0"/>
    <b v="0"/>
    <b v="1"/>
    <b v="0"/>
    <b v="1"/>
    <b v="1"/>
    <b v="0"/>
    <b v="0"/>
    <n v="0"/>
    <n v="0"/>
    <m/>
    <d v="2018-06-22T00:00:00"/>
    <n v="32127162"/>
    <d v="2018-01-29T00:00:00"/>
    <m/>
    <m/>
    <s v=""/>
    <b v="0"/>
    <m/>
    <m/>
    <d v="2018-01-28T00:00:00"/>
    <m/>
    <n v="791522"/>
    <b v="1"/>
    <m/>
    <d v="2018-01-29T00:00:00"/>
    <m/>
    <x v="0"/>
    <b v="1"/>
    <n v="43488650"/>
    <s v="Regina"/>
    <s v="Porter"/>
    <s v="NextLevel Health"/>
    <s v=""/>
    <s v=""/>
    <s v="regina.porter@nlhpartners.com"/>
    <s v="(312) 300-5780 x120"/>
    <s v=""/>
    <s v=""/>
    <s v=""/>
    <s v=""/>
    <s v=""/>
    <s v=""/>
    <s v=""/>
    <s v=""/>
    <s v=""/>
    <s v=""/>
    <s v=""/>
    <s v=""/>
    <s v=""/>
    <s v=""/>
    <s v=""/>
    <s v="371616Newsletter Recipient"/>
    <s v="10633527Care Coordination"/>
    <x v="0"/>
  </r>
  <r>
    <n v="37822775"/>
    <b v="0"/>
    <b v="0"/>
    <b v="0"/>
    <b v="1"/>
    <b v="0"/>
    <b v="1"/>
    <b v="1"/>
    <b v="0"/>
    <b v="0"/>
    <n v="0"/>
    <n v="0"/>
    <m/>
    <d v="2017-02-24T00:00:00"/>
    <n v="32127162"/>
    <d v="2017-02-24T00:00:00"/>
    <m/>
    <m/>
    <s v=""/>
    <b v="0"/>
    <m/>
    <m/>
    <d v="2017-02-24T00:00:00"/>
    <m/>
    <n v="791522"/>
    <b v="1"/>
    <m/>
    <m/>
    <m/>
    <x v="0"/>
    <b v="1"/>
    <n v="37822775"/>
    <s v="Anna"/>
    <s v="Potere"/>
    <s v="Ounce of Prevention"/>
    <s v=""/>
    <s v=""/>
    <s v="apotere@ounceofprevention.org"/>
    <s v=""/>
    <s v=""/>
    <s v=""/>
    <s v=""/>
    <s v=""/>
    <s v=""/>
    <s v=""/>
    <s v=""/>
    <s v=""/>
    <s v=""/>
    <s v=""/>
    <s v=""/>
    <s v=""/>
    <s v=""/>
    <s v=""/>
    <s v=""/>
    <s v="371616Newsletter Recipient"/>
    <m/>
    <x v="0"/>
  </r>
  <r>
    <n v="42012270"/>
    <b v="0"/>
    <b v="0"/>
    <b v="0"/>
    <b v="1"/>
    <b v="0"/>
    <b v="1"/>
    <b v="1"/>
    <b v="0"/>
    <b v="0"/>
    <n v="0"/>
    <n v="0"/>
    <m/>
    <d v="2017-10-19T00:00:00"/>
    <n v="32127162"/>
    <d v="2017-10-19T00:00:00"/>
    <m/>
    <m/>
    <s v=""/>
    <b v="0"/>
    <m/>
    <m/>
    <d v="2017-10-19T00:00:00"/>
    <m/>
    <n v="791522"/>
    <b v="1"/>
    <m/>
    <d v="2017-10-19T00:00:00"/>
    <m/>
    <x v="0"/>
    <b v="1"/>
    <n v="42012270"/>
    <s v="Laura"/>
    <s v="Potts"/>
    <s v="Family Counseling Center, Inc."/>
    <s v=""/>
    <s v=""/>
    <s v="laura@fccinconline.org"/>
    <s v=""/>
    <s v=""/>
    <s v=""/>
    <s v=""/>
    <s v=""/>
    <s v=""/>
    <s v=""/>
    <s v=""/>
    <s v=""/>
    <s v=""/>
    <s v=""/>
    <s v=""/>
    <s v=""/>
    <s v=""/>
    <s v=""/>
    <s v=""/>
    <s v="371616Newsletter Recipient"/>
    <m/>
    <x v="0"/>
  </r>
  <r>
    <n v="37819893"/>
    <b v="0"/>
    <b v="0"/>
    <b v="0"/>
    <b v="1"/>
    <b v="0"/>
    <b v="1"/>
    <b v="1"/>
    <b v="0"/>
    <b v="0"/>
    <n v="0"/>
    <n v="0"/>
    <m/>
    <d v="2018-01-12T00:00:00"/>
    <n v="32127162"/>
    <d v="2017-02-24T00:00:00"/>
    <m/>
    <m/>
    <s v=""/>
    <b v="0"/>
    <m/>
    <m/>
    <d v="2017-02-24T00:00:00"/>
    <m/>
    <n v="791522"/>
    <b v="1"/>
    <m/>
    <m/>
    <m/>
    <x v="0"/>
    <b v="1"/>
    <n v="37819893"/>
    <s v="Stephanie"/>
    <s v="Poturica"/>
    <s v="Family Health Network"/>
    <s v=""/>
    <s v=""/>
    <s v="spoturica@myfhn.com"/>
    <s v=""/>
    <s v=""/>
    <s v=""/>
    <s v=""/>
    <s v=""/>
    <s v=""/>
    <s v=""/>
    <s v=""/>
    <s v="Project Coordinator"/>
    <s v=""/>
    <s v=""/>
    <s v=""/>
    <s v=""/>
    <s v=""/>
    <s v=""/>
    <s v=""/>
    <m/>
    <m/>
    <x v="0"/>
  </r>
  <r>
    <n v="45370441"/>
    <b v="0"/>
    <b v="0"/>
    <b v="0"/>
    <b v="1"/>
    <b v="0"/>
    <b v="1"/>
    <b v="1"/>
    <b v="0"/>
    <b v="0"/>
    <n v="0"/>
    <n v="0"/>
    <m/>
    <d v="2018-05-17T00:00:00"/>
    <n v="32127162"/>
    <d v="2018-05-17T00:00:00"/>
    <m/>
    <m/>
    <s v=""/>
    <b v="0"/>
    <m/>
    <m/>
    <d v="2018-05-17T00:00:00"/>
    <m/>
    <n v="791522"/>
    <b v="1"/>
    <m/>
    <d v="2018-05-17T00:00:00"/>
    <m/>
    <x v="0"/>
    <b v="1"/>
    <n v="45370441"/>
    <s v="Melissa"/>
    <s v="Powel"/>
    <s v="IlliniCare Health"/>
    <s v=""/>
    <s v=""/>
    <s v="melissa.s.powell@illinicare.com"/>
    <s v=""/>
    <s v=""/>
    <s v=""/>
    <s v=""/>
    <s v=""/>
    <s v=""/>
    <s v=""/>
    <s v=""/>
    <s v=""/>
    <s v=""/>
    <s v=""/>
    <s v=""/>
    <s v=""/>
    <s v=""/>
    <s v=""/>
    <s v=""/>
    <s v="335736Provider Relations - Committee Members, 371616Newsletter Recipient"/>
    <m/>
    <x v="0"/>
  </r>
  <r>
    <n v="34514303"/>
    <b v="0"/>
    <b v="0"/>
    <b v="0"/>
    <b v="1"/>
    <b v="0"/>
    <b v="1"/>
    <b v="1"/>
    <b v="0"/>
    <b v="0"/>
    <n v="0"/>
    <n v="0"/>
    <m/>
    <d v="2018-01-22T00:00:00"/>
    <n v="32127162"/>
    <d v="2016-09-16T00:00:00"/>
    <m/>
    <m/>
    <s v=""/>
    <b v="0"/>
    <m/>
    <m/>
    <d v="2016-09-15T00:00:00"/>
    <m/>
    <n v="791522"/>
    <b v="1"/>
    <m/>
    <m/>
    <m/>
    <x v="0"/>
    <b v="1"/>
    <n v="34514303"/>
    <s v="Dr. Traci"/>
    <s v="Powell"/>
    <s v="Harmony Health Plan of Illinois - A WellCare Company"/>
    <s v=""/>
    <s v=""/>
    <s v="Traci.Powell@wellcare.com"/>
    <s v="312-516-4906"/>
    <s v=""/>
    <s v=""/>
    <s v=""/>
    <s v=""/>
    <s v=""/>
    <s v=""/>
    <s v=""/>
    <s v=""/>
    <s v=""/>
    <s v=""/>
    <s v=""/>
    <s v=""/>
    <s v=""/>
    <s v=""/>
    <s v=""/>
    <s v="335700Behavioral Health - Vendor Contact, 371616Newsletter Recipient, 372292Medical Directors, 3767711115 Workgroup"/>
    <m/>
    <x v="0"/>
  </r>
  <r>
    <n v="37822770"/>
    <b v="0"/>
    <b v="0"/>
    <b v="0"/>
    <b v="1"/>
    <b v="0"/>
    <b v="1"/>
    <b v="1"/>
    <b v="0"/>
    <b v="0"/>
    <n v="0"/>
    <n v="0"/>
    <m/>
    <d v="2017-02-24T00:00:00"/>
    <n v="32127162"/>
    <d v="2017-02-24T00:00:00"/>
    <m/>
    <m/>
    <s v=""/>
    <b v="0"/>
    <m/>
    <m/>
    <d v="2017-02-24T00:00:00"/>
    <m/>
    <n v="791522"/>
    <b v="1"/>
    <m/>
    <m/>
    <m/>
    <x v="0"/>
    <b v="1"/>
    <n v="37822770"/>
    <s v="Jordan"/>
    <s v="Powell"/>
    <s v="IPHCA"/>
    <s v=""/>
    <s v=""/>
    <s v="jpowell@iphca.org"/>
    <s v=""/>
    <s v=""/>
    <s v=""/>
    <s v=""/>
    <s v=""/>
    <s v=""/>
    <s v=""/>
    <s v=""/>
    <s v=""/>
    <s v=""/>
    <s v=""/>
    <s v=""/>
    <s v=""/>
    <s v=""/>
    <s v=""/>
    <s v=""/>
    <s v="371616Newsletter Recipient"/>
    <m/>
    <x v="0"/>
  </r>
  <r>
    <n v="44047188"/>
    <b v="0"/>
    <b v="0"/>
    <b v="0"/>
    <b v="1"/>
    <b v="0"/>
    <b v="1"/>
    <b v="1"/>
    <b v="0"/>
    <b v="0"/>
    <n v="0"/>
    <n v="0"/>
    <m/>
    <d v="2018-03-02T00:00:00"/>
    <n v="32127162"/>
    <d v="2018-03-02T00:00:00"/>
    <m/>
    <m/>
    <s v=""/>
    <b v="0"/>
    <m/>
    <m/>
    <d v="2018-03-02T00:00:00"/>
    <m/>
    <n v="791522"/>
    <b v="1"/>
    <m/>
    <d v="2018-03-02T00:00:00"/>
    <m/>
    <x v="0"/>
    <b v="1"/>
    <n v="44047188"/>
    <s v="Louie"/>
    <s v="Prado"/>
    <s v="ADT Health"/>
    <s v=""/>
    <s v=""/>
    <s v="lprado@adt.com"/>
    <s v=""/>
    <s v=""/>
    <s v=""/>
    <s v=""/>
    <s v=""/>
    <s v=""/>
    <s v=""/>
    <s v=""/>
    <s v=""/>
    <s v=""/>
    <s v=""/>
    <s v=""/>
    <s v=""/>
    <s v=""/>
    <s v=""/>
    <s v=""/>
    <s v="371616Newsletter Recipient"/>
    <m/>
    <x v="0"/>
  </r>
  <r>
    <n v="41302172"/>
    <b v="0"/>
    <b v="0"/>
    <b v="0"/>
    <b v="1"/>
    <b v="0"/>
    <b v="1"/>
    <b v="1"/>
    <b v="0"/>
    <b v="0"/>
    <n v="0"/>
    <n v="0"/>
    <m/>
    <d v="2017-08-30T00:00:00"/>
    <n v="32127162"/>
    <d v="2017-08-30T00:00:00"/>
    <m/>
    <m/>
    <s v=""/>
    <b v="0"/>
    <m/>
    <m/>
    <d v="2017-08-30T00:00:00"/>
    <m/>
    <n v="791522"/>
    <b v="1"/>
    <m/>
    <m/>
    <m/>
    <x v="0"/>
    <b v="1"/>
    <n v="41302172"/>
    <s v="Ruta"/>
    <s v="Prasauskas"/>
    <s v="LeadingAge Illinois"/>
    <s v=""/>
    <s v=""/>
    <s v="rprasauskas@leadingageil.org"/>
    <s v=""/>
    <s v=""/>
    <s v=""/>
    <s v=""/>
    <s v=""/>
    <s v=""/>
    <s v=""/>
    <s v=""/>
    <s v=""/>
    <s v=""/>
    <s v=""/>
    <s v=""/>
    <s v=""/>
    <s v=""/>
    <s v=""/>
    <s v=""/>
    <s v="371616Newsletter Recipient"/>
    <m/>
    <x v="0"/>
  </r>
  <r>
    <n v="42370970"/>
    <b v="0"/>
    <b v="0"/>
    <b v="0"/>
    <b v="1"/>
    <b v="0"/>
    <b v="1"/>
    <b v="1"/>
    <b v="0"/>
    <b v="0"/>
    <n v="0"/>
    <n v="0"/>
    <m/>
    <d v="2018-02-12T00:00:00"/>
    <n v="32127162"/>
    <d v="2017-10-31T00:00:00"/>
    <m/>
    <m/>
    <s v=""/>
    <b v="0"/>
    <m/>
    <m/>
    <d v="2017-10-31T00:00:00"/>
    <m/>
    <n v="791522"/>
    <b v="1"/>
    <m/>
    <d v="2017-10-31T00:00:00"/>
    <m/>
    <x v="0"/>
    <b v="1"/>
    <n v="42370970"/>
    <s v="Sandra"/>
    <s v="Price"/>
    <s v="Illinois Adult Day Services Association"/>
    <s v=""/>
    <s v=""/>
    <s v="iadsainfo@gmail.com"/>
    <s v=""/>
    <s v=""/>
    <s v=""/>
    <s v=""/>
    <s v=""/>
    <s v=""/>
    <s v=""/>
    <s v=""/>
    <s v=""/>
    <s v=""/>
    <s v=""/>
    <s v=""/>
    <s v=""/>
    <s v=""/>
    <s v=""/>
    <s v=""/>
    <s v="371616Newsletter Recipient"/>
    <m/>
    <x v="0"/>
  </r>
  <r>
    <n v="43761533"/>
    <b v="0"/>
    <b v="0"/>
    <b v="0"/>
    <b v="1"/>
    <b v="0"/>
    <b v="1"/>
    <b v="1"/>
    <b v="0"/>
    <b v="0"/>
    <n v="0"/>
    <n v="0"/>
    <m/>
    <d v="2018-02-14T00:00:00"/>
    <n v="32127162"/>
    <d v="2018-02-14T00:00:00"/>
    <m/>
    <m/>
    <s v=""/>
    <b v="0"/>
    <m/>
    <m/>
    <d v="2018-02-14T00:00:00"/>
    <m/>
    <n v="791522"/>
    <b v="1"/>
    <m/>
    <d v="2018-02-14T00:00:00"/>
    <m/>
    <x v="0"/>
    <b v="1"/>
    <n v="43761533"/>
    <s v="Christopher"/>
    <s v="Priest"/>
    <s v="IlliniCare Health"/>
    <s v=""/>
    <s v=""/>
    <s v="christopher.m.priest@centene.com"/>
    <s v=""/>
    <s v=""/>
    <s v=""/>
    <s v=""/>
    <s v=""/>
    <s v=""/>
    <s v=""/>
    <s v=""/>
    <s v=""/>
    <s v=""/>
    <s v=""/>
    <s v=""/>
    <s v=""/>
    <s v=""/>
    <s v=""/>
    <s v=""/>
    <s v="371616Newsletter Recipient, 428250Hospital Assessment"/>
    <m/>
    <x v="0"/>
  </r>
  <r>
    <n v="37779435"/>
    <b v="0"/>
    <b v="0"/>
    <b v="0"/>
    <b v="1"/>
    <b v="0"/>
    <b v="1"/>
    <b v="1"/>
    <b v="0"/>
    <b v="0"/>
    <n v="0"/>
    <n v="0"/>
    <m/>
    <d v="2017-02-24T00:00:00"/>
    <n v="32127162"/>
    <d v="2017-02-21T00:00:00"/>
    <m/>
    <m/>
    <s v=""/>
    <b v="0"/>
    <m/>
    <m/>
    <d v="2017-02-20T00:00:00"/>
    <m/>
    <n v="791522"/>
    <b v="1"/>
    <m/>
    <m/>
    <m/>
    <x v="0"/>
    <b v="1"/>
    <n v="37779435"/>
    <s v="Robert"/>
    <s v="Pritchard"/>
    <s v="Illinois General Assembly"/>
    <s v=""/>
    <s v="Representative Robert W. Pritchard (R)_x000a_70th District_x0009__x000a__x000a_Springfield Office:_x000a_200-3N Stratton Office Building_x000a_Springfield, IL   62706_x000a_(217) 782-0425_x000a_(217) 782-1275 FAX_x000a__x000a_District Office:_x000a_2600 DeKalb Avenue_x000a_Suite C_x000a_Sycamore, IL  60178_x000a_(815) 748-3494_x000a_(815) 748-4630 FAX"/>
    <s v="bob@pritchardstaterep.com"/>
    <s v=""/>
    <s v=""/>
    <s v=""/>
    <s v=""/>
    <s v=""/>
    <s v=""/>
    <s v=""/>
    <s v=""/>
    <s v=""/>
    <s v=""/>
    <s v=""/>
    <s v=""/>
    <s v=""/>
    <s v=""/>
    <s v=""/>
    <s v=""/>
    <s v="371616Newsletter Recipient, 371627House of Representatives"/>
    <m/>
    <x v="0"/>
  </r>
  <r>
    <n v="39537631"/>
    <b v="0"/>
    <b v="0"/>
    <b v="0"/>
    <b v="1"/>
    <b v="0"/>
    <b v="1"/>
    <b v="1"/>
    <b v="0"/>
    <b v="0"/>
    <n v="0"/>
    <n v="0"/>
    <m/>
    <d v="2018-03-02T00:00:00"/>
    <n v="32127162"/>
    <d v="2017-06-28T00:00:00"/>
    <m/>
    <m/>
    <s v=""/>
    <b v="0"/>
    <m/>
    <m/>
    <d v="2017-06-28T00:00:00"/>
    <m/>
    <n v="791522"/>
    <b v="1"/>
    <m/>
    <m/>
    <m/>
    <x v="0"/>
    <b v="1"/>
    <n v="39537631"/>
    <s v=""/>
    <s v="Provider Relations"/>
    <s v="IlliniCare Health"/>
    <s v=""/>
    <s v=""/>
    <s v=""/>
    <s v="Refer to the Provider Relations assignment link."/>
    <s v=""/>
    <s v=""/>
    <s v=""/>
    <s v=""/>
    <s v=""/>
    <s v=""/>
    <s v=""/>
    <s v=""/>
    <s v=""/>
    <s v=""/>
    <s v=""/>
    <s v=""/>
    <s v=""/>
    <s v=""/>
    <s v=""/>
    <m/>
    <m/>
    <x v="0"/>
  </r>
  <r>
    <n v="46481632"/>
    <b v="0"/>
    <b v="0"/>
    <b v="0"/>
    <b v="1"/>
    <b v="0"/>
    <b v="1"/>
    <b v="1"/>
    <b v="0"/>
    <b v="0"/>
    <n v="0"/>
    <n v="0"/>
    <m/>
    <d v="2018-06-22T00:00:00"/>
    <n v="32127162"/>
    <d v="2018-06-22T00:00:00"/>
    <m/>
    <m/>
    <s v=""/>
    <b v="0"/>
    <m/>
    <m/>
    <d v="2018-06-22T00:00:00"/>
    <m/>
    <n v="791522"/>
    <b v="1"/>
    <m/>
    <d v="2018-06-22T00:00:00"/>
    <m/>
    <x v="0"/>
    <b v="1"/>
    <n v="46481632"/>
    <s v=""/>
    <s v="Provider Services"/>
    <s v="NextLevel Health"/>
    <s v=""/>
    <s v=""/>
    <s v="provider.services@nlhpartners.com"/>
    <s v=""/>
    <s v=""/>
    <s v=""/>
    <s v=""/>
    <s v=""/>
    <s v=""/>
    <s v=""/>
    <s v="NextLevel Health"/>
    <s v=""/>
    <s v=""/>
    <s v=""/>
    <s v=""/>
    <s v=""/>
    <s v=""/>
    <s v=""/>
    <s v=""/>
    <s v="420923Community Mental Health - Contracts, 420929Durable Medical Equipment - Contracts, 420932FQHC - Contracts, 420935Home Health - Contracts, 420938Hospice - Contracts, 420941Hospitals - Contracts, 420944Mental Health - Contracts, 420947Methadone Treatment - Contracts, 420950Physicians - Contracts, 420953Public Health Department - Contracts, 420957Redetermination Point Person - Contracts, 420960Substance Use Disorder - Contracts, 420967Transportation - Contracts, 420973Children's Services - Contracts, 420987LTC - Contracts"/>
    <s v="10633525Contracts"/>
    <x v="0"/>
  </r>
  <r>
    <n v="37822824"/>
    <b v="0"/>
    <b v="0"/>
    <b v="0"/>
    <b v="1"/>
    <b v="0"/>
    <b v="1"/>
    <b v="1"/>
    <b v="0"/>
    <b v="0"/>
    <n v="0"/>
    <n v="0"/>
    <m/>
    <d v="2017-02-24T00:00:00"/>
    <n v="32127162"/>
    <d v="2017-02-24T00:00:00"/>
    <m/>
    <m/>
    <s v=""/>
    <b v="0"/>
    <m/>
    <m/>
    <d v="2017-02-24T00:00:00"/>
    <m/>
    <n v="791522"/>
    <b v="1"/>
    <m/>
    <m/>
    <m/>
    <x v="0"/>
    <b v="1"/>
    <n v="37822824"/>
    <s v="Janelle"/>
    <s v="Prueter"/>
    <s v="TASC"/>
    <s v=""/>
    <s v=""/>
    <s v="jprueter@tasc-il.org"/>
    <s v=""/>
    <s v=""/>
    <s v=""/>
    <s v=""/>
    <s v=""/>
    <s v=""/>
    <s v=""/>
    <s v=""/>
    <s v=""/>
    <s v=""/>
    <s v=""/>
    <s v=""/>
    <s v=""/>
    <s v=""/>
    <s v=""/>
    <s v=""/>
    <s v="371616Newsletter Recipient"/>
    <m/>
    <x v="0"/>
  </r>
  <r>
    <n v="37819894"/>
    <b v="0"/>
    <b v="0"/>
    <b v="0"/>
    <b v="1"/>
    <b v="0"/>
    <b v="1"/>
    <b v="1"/>
    <b v="0"/>
    <b v="0"/>
    <n v="0"/>
    <n v="0"/>
    <m/>
    <d v="2017-02-24T00:00:00"/>
    <n v="32127162"/>
    <d v="2017-02-24T00:00:00"/>
    <m/>
    <m/>
    <s v=""/>
    <b v="0"/>
    <m/>
    <m/>
    <d v="2017-02-24T00:00:00"/>
    <m/>
    <n v="791522"/>
    <b v="1"/>
    <m/>
    <m/>
    <m/>
    <x v="0"/>
    <b v="1"/>
    <n v="37819894"/>
    <s v="Taylor"/>
    <s v="Pruisner"/>
    <s v="Wakely Consulting Group"/>
    <s v=""/>
    <s v=""/>
    <s v="taylorp@wakelyconsulting.com"/>
    <s v=""/>
    <s v=""/>
    <s v=""/>
    <s v=""/>
    <s v=""/>
    <s v=""/>
    <s v=""/>
    <s v=""/>
    <s v=""/>
    <s v=""/>
    <s v=""/>
    <s v=""/>
    <s v=""/>
    <s v=""/>
    <s v=""/>
    <s v=""/>
    <s v="371616Newsletter Recipient"/>
    <m/>
    <x v="0"/>
  </r>
  <r>
    <n v="43488990"/>
    <b v="0"/>
    <b v="0"/>
    <b v="0"/>
    <b v="1"/>
    <b v="0"/>
    <b v="1"/>
    <b v="1"/>
    <b v="0"/>
    <b v="0"/>
    <n v="0"/>
    <n v="0"/>
    <m/>
    <d v="2018-06-22T00:00:00"/>
    <n v="32127162"/>
    <d v="2018-01-29T00:00:00"/>
    <m/>
    <m/>
    <s v=""/>
    <b v="0"/>
    <m/>
    <m/>
    <d v="2018-01-28T00:00:00"/>
    <m/>
    <n v="791522"/>
    <b v="1"/>
    <m/>
    <d v="2018-01-29T00:00:00"/>
    <m/>
    <x v="0"/>
    <b v="1"/>
    <n v="43488990"/>
    <s v="Natasha"/>
    <s v="Pryor"/>
    <s v="NextLevel Health"/>
    <s v=""/>
    <s v=""/>
    <s v="natasha.pryor@nlhpartners.com"/>
    <s v="(312) 300-5780 x132"/>
    <s v=""/>
    <s v=""/>
    <s v=""/>
    <s v=""/>
    <s v=""/>
    <s v=""/>
    <s v=""/>
    <s v=""/>
    <s v=""/>
    <s v=""/>
    <s v=""/>
    <s v=""/>
    <s v=""/>
    <s v=""/>
    <s v=""/>
    <s v="371616Newsletter Recipient"/>
    <m/>
    <x v="0"/>
  </r>
  <r>
    <n v="34087309"/>
    <b v="0"/>
    <b v="0"/>
    <b v="0"/>
    <b v="1"/>
    <b v="0"/>
    <b v="1"/>
    <b v="1"/>
    <b v="0"/>
    <b v="0"/>
    <n v="0"/>
    <n v="0"/>
    <m/>
    <d v="2018-03-02T00:00:00"/>
    <n v="32127162"/>
    <d v="2016-08-29T00:00:00"/>
    <m/>
    <m/>
    <s v=""/>
    <b v="0"/>
    <m/>
    <m/>
    <d v="2016-08-29T00:00:00"/>
    <m/>
    <n v="791522"/>
    <b v="1"/>
    <m/>
    <m/>
    <m/>
    <x v="0"/>
    <b v="1"/>
    <n v="34087309"/>
    <s v="Derek"/>
    <s v="Punzalan"/>
    <s v="Meridian Health Plan"/>
    <s v=""/>
    <s v=""/>
    <s v="Derek.Punzalan@mhplan.com"/>
    <s v="312-980-2371"/>
    <s v=""/>
    <s v=""/>
    <s v=""/>
    <s v=""/>
    <s v=""/>
    <s v=""/>
    <s v=""/>
    <s v=""/>
    <s v=""/>
    <s v=""/>
    <s v=""/>
    <s v=""/>
    <s v=""/>
    <s v=""/>
    <s v=""/>
    <s v="335736Provider Relations - Committee Members, 371616Newsletter Recipient, 372312IHA-IAMHP Working Group"/>
    <m/>
    <x v="0"/>
  </r>
  <r>
    <n v="37822875"/>
    <b v="0"/>
    <b v="0"/>
    <b v="0"/>
    <b v="1"/>
    <b v="0"/>
    <b v="1"/>
    <b v="1"/>
    <b v="0"/>
    <b v="0"/>
    <n v="0"/>
    <n v="0"/>
    <m/>
    <d v="2017-02-24T00:00:00"/>
    <n v="32127162"/>
    <d v="2017-02-24T00:00:00"/>
    <m/>
    <m/>
    <s v=""/>
    <b v="0"/>
    <m/>
    <m/>
    <d v="2017-02-24T00:00:00"/>
    <m/>
    <n v="791522"/>
    <b v="1"/>
    <m/>
    <m/>
    <m/>
    <x v="0"/>
    <b v="1"/>
    <n v="37822875"/>
    <s v="Lucia"/>
    <s v="Quinones"/>
    <s v=""/>
    <s v=""/>
    <s v=""/>
    <s v="lquinones@icirr.org"/>
    <s v=""/>
    <s v=""/>
    <s v=""/>
    <s v=""/>
    <s v=""/>
    <s v=""/>
    <s v=""/>
    <s v=""/>
    <s v=""/>
    <s v=""/>
    <s v=""/>
    <s v=""/>
    <s v=""/>
    <s v=""/>
    <s v=""/>
    <s v=""/>
    <s v="371616Newsletter Recipient"/>
    <m/>
    <x v="0"/>
  </r>
  <r>
    <n v="37822829"/>
    <b v="0"/>
    <b v="0"/>
    <b v="0"/>
    <b v="1"/>
    <b v="0"/>
    <b v="1"/>
    <b v="1"/>
    <b v="0"/>
    <b v="0"/>
    <n v="0"/>
    <n v="0"/>
    <m/>
    <d v="2017-02-24T00:00:00"/>
    <n v="32127162"/>
    <d v="2017-02-24T00:00:00"/>
    <m/>
    <m/>
    <s v=""/>
    <b v="0"/>
    <m/>
    <m/>
    <d v="2017-02-24T00:00:00"/>
    <m/>
    <n v="791522"/>
    <b v="1"/>
    <m/>
    <m/>
    <m/>
    <x v="0"/>
    <b v="1"/>
    <n v="37822829"/>
    <s v="Daniel"/>
    <s v="Rabbit"/>
    <s v="Heartland Alliance"/>
    <s v=""/>
    <s v=""/>
    <s v="drabbitt@heartlandalliance.org"/>
    <s v=""/>
    <s v=""/>
    <s v=""/>
    <s v=""/>
    <s v=""/>
    <s v=""/>
    <s v=""/>
    <s v=""/>
    <s v=""/>
    <s v=""/>
    <s v=""/>
    <s v=""/>
    <s v=""/>
    <s v=""/>
    <s v=""/>
    <s v=""/>
    <s v="371616Newsletter Recipient"/>
    <m/>
    <x v="0"/>
  </r>
  <r>
    <n v="37770817"/>
    <b v="0"/>
    <b v="0"/>
    <b v="0"/>
    <b v="1"/>
    <b v="0"/>
    <b v="1"/>
    <b v="1"/>
    <b v="0"/>
    <b v="0"/>
    <n v="0"/>
    <n v="0"/>
    <m/>
    <d v="2018-02-12T00:00:00"/>
    <n v="32127162"/>
    <d v="2017-02-20T00:00:00"/>
    <m/>
    <m/>
    <s v=""/>
    <b v="0"/>
    <m/>
    <m/>
    <d v="2017-02-20T00:00:00"/>
    <m/>
    <n v="791522"/>
    <b v="1"/>
    <m/>
    <m/>
    <m/>
    <x v="0"/>
    <b v="1"/>
    <n v="37770817"/>
    <s v="Christine"/>
    <s v="Radogno"/>
    <s v="Illinois General Assembly"/>
    <s v="Senator"/>
    <s v="Senator Christine Radogno (R)_x000a_41st District_x000a_Republican Leader _x0009__x000a__x000a_Springfield Office:_x000a_Senator 41st District_x000a_309G Capitol Building_x000a_Springfield, IL   62706_x000a_(217) 782-9407_x000a_ _x000a_District Office:_x000a_1011 State Street_x000a_Suite 210_x000a_Lemont, IL  60439_x000a_(630) 243-0800_x000a_(630) 243-0808 FAX"/>
    <s v="christine@senatorradogno.com"/>
    <s v=""/>
    <s v=""/>
    <s v=""/>
    <s v=""/>
    <s v=""/>
    <s v="(217) 782-9407"/>
    <s v=""/>
    <s v=""/>
    <s v=""/>
    <s v=""/>
    <s v=""/>
    <s v=""/>
    <s v=""/>
    <s v=""/>
    <s v=""/>
    <s v=""/>
    <s v="371609Senator, 371616Newsletter Recipient"/>
    <m/>
    <x v="0"/>
  </r>
  <r>
    <n v="42678230"/>
    <b v="0"/>
    <b v="0"/>
    <b v="0"/>
    <b v="1"/>
    <b v="0"/>
    <b v="1"/>
    <b v="1"/>
    <b v="0"/>
    <b v="0"/>
    <n v="0"/>
    <n v="0"/>
    <m/>
    <d v="2018-02-12T00:00:00"/>
    <n v="32127162"/>
    <d v="2017-11-17T00:00:00"/>
    <m/>
    <m/>
    <s v=""/>
    <b v="0"/>
    <m/>
    <m/>
    <d v="2017-11-17T00:00:00"/>
    <m/>
    <n v="791522"/>
    <b v="1"/>
    <m/>
    <d v="2017-11-17T00:00:00"/>
    <m/>
    <x v="0"/>
    <b v="1"/>
    <n v="42678230"/>
    <s v="Hope"/>
    <s v="Ragsdale"/>
    <s v="Harrisburg Medical Center"/>
    <s v=""/>
    <s v=""/>
    <s v="hragsdale@harrisburgmc.com"/>
    <s v=""/>
    <s v=""/>
    <s v=""/>
    <s v=""/>
    <s v=""/>
    <s v=""/>
    <s v=""/>
    <s v="Harrisburg Medical Center"/>
    <s v=""/>
    <s v=""/>
    <s v=""/>
    <s v=""/>
    <s v=""/>
    <s v=""/>
    <s v=""/>
    <s v=""/>
    <s v="371616Newsletter Recipient"/>
    <m/>
    <x v="0"/>
  </r>
  <r>
    <n v="37819897"/>
    <b v="0"/>
    <b v="0"/>
    <b v="0"/>
    <b v="1"/>
    <b v="0"/>
    <b v="1"/>
    <b v="1"/>
    <b v="0"/>
    <b v="0"/>
    <n v="0"/>
    <n v="0"/>
    <m/>
    <d v="2017-02-24T00:00:00"/>
    <n v="32127162"/>
    <d v="2017-02-24T00:00:00"/>
    <m/>
    <m/>
    <s v=""/>
    <b v="0"/>
    <m/>
    <m/>
    <d v="2017-02-24T00:00:00"/>
    <m/>
    <n v="791522"/>
    <b v="1"/>
    <m/>
    <m/>
    <m/>
    <x v="0"/>
    <b v="1"/>
    <n v="37819897"/>
    <s v="Michelle"/>
    <s v="Raleigh"/>
    <s v="IlliniCare Health"/>
    <s v=""/>
    <s v=""/>
    <s v="mraleigh@centene.com"/>
    <s v=""/>
    <s v=""/>
    <s v=""/>
    <s v=""/>
    <s v=""/>
    <s v=""/>
    <s v=""/>
    <s v=""/>
    <s v=""/>
    <s v=""/>
    <s v=""/>
    <s v=""/>
    <s v=""/>
    <s v=""/>
    <s v=""/>
    <s v=""/>
    <s v="371616Newsletter Recipient, 372294Finance Committee, 428250Hospital Assessment"/>
    <m/>
    <x v="0"/>
  </r>
  <r>
    <n v="37770825"/>
    <b v="0"/>
    <b v="0"/>
    <b v="0"/>
    <b v="1"/>
    <b v="0"/>
    <b v="1"/>
    <b v="1"/>
    <b v="0"/>
    <b v="0"/>
    <n v="0"/>
    <n v="0"/>
    <m/>
    <d v="2017-02-24T00:00:00"/>
    <n v="32127162"/>
    <d v="2017-02-20T00:00:00"/>
    <m/>
    <m/>
    <s v=""/>
    <b v="0"/>
    <m/>
    <m/>
    <d v="2017-02-20T00:00:00"/>
    <m/>
    <n v="791522"/>
    <b v="1"/>
    <m/>
    <m/>
    <m/>
    <x v="0"/>
    <b v="1"/>
    <n v="37770825"/>
    <s v="Kwame"/>
    <s v="Raoul"/>
    <s v="Illinois General Assembly"/>
    <s v=""/>
    <s v="Senator Kwame Raoul (D)_x000a_13th District_x000a__x000a_Springfield Office:_x000a_Senator 13th District_x000a_123 Capitol Building_x000a_Springfield, IL   62706_x000a_(217) 782-5338_x000a_(217) 558-6006 FAX_x000a_ _x000a_District Office:_x000a_1509 E. 53rd Street_x000a_2nd Floor_x000a_Chicago, IL  60615_x000a_(773) 363-1996"/>
    <s v=""/>
    <s v=""/>
    <s v=""/>
    <s v=""/>
    <s v=""/>
    <s v=""/>
    <s v="(217) 782-5338"/>
    <s v=""/>
    <s v=""/>
    <s v=""/>
    <s v=""/>
    <s v=""/>
    <s v=""/>
    <s v=""/>
    <s v=""/>
    <s v=""/>
    <s v=""/>
    <s v="371609Senator, 371616Newsletter Recipient"/>
    <m/>
    <x v="0"/>
  </r>
  <r>
    <n v="41724399"/>
    <b v="0"/>
    <b v="0"/>
    <b v="0"/>
    <b v="1"/>
    <b v="0"/>
    <b v="1"/>
    <b v="1"/>
    <b v="0"/>
    <b v="0"/>
    <n v="0"/>
    <n v="0"/>
    <m/>
    <d v="2018-03-21T00:00:00"/>
    <n v="32127162"/>
    <d v="2017-09-22T00:00:00"/>
    <m/>
    <m/>
    <s v=""/>
    <b v="0"/>
    <m/>
    <m/>
    <d v="2017-09-22T00:00:00"/>
    <m/>
    <n v="791522"/>
    <b v="1"/>
    <m/>
    <d v="2017-09-22T00:00:00"/>
    <m/>
    <x v="0"/>
    <b v="1"/>
    <n v="41724399"/>
    <s v="Michael"/>
    <s v="Rashid"/>
    <s v="IlliniCare Health"/>
    <s v=""/>
    <s v=""/>
    <s v="michael.rashid@illinicare.com"/>
    <s v=""/>
    <s v=""/>
    <s v=""/>
    <s v=""/>
    <s v=""/>
    <s v=""/>
    <s v=""/>
    <s v=""/>
    <s v="CEO"/>
    <s v=""/>
    <s v=""/>
    <s v=""/>
    <s v=""/>
    <s v=""/>
    <s v=""/>
    <s v=""/>
    <s v="335741Chief Executive Officer, 371616Newsletter Recipient, 372295Board of Directors/General Distribution List, 420911IAMHP Leadership, 428250Hospital Assessment"/>
    <m/>
    <x v="0"/>
  </r>
  <r>
    <n v="37822735"/>
    <b v="0"/>
    <b v="0"/>
    <b v="0"/>
    <b v="1"/>
    <b v="0"/>
    <b v="1"/>
    <b v="1"/>
    <b v="0"/>
    <b v="0"/>
    <n v="0"/>
    <n v="0"/>
    <m/>
    <d v="2017-02-24T00:00:00"/>
    <n v="32127162"/>
    <d v="2017-02-24T00:00:00"/>
    <m/>
    <m/>
    <s v=""/>
    <b v="0"/>
    <m/>
    <m/>
    <d v="2017-02-24T00:00:00"/>
    <m/>
    <n v="791522"/>
    <b v="1"/>
    <m/>
    <m/>
    <m/>
    <x v="0"/>
    <b v="1"/>
    <n v="37822735"/>
    <s v="Laura"/>
    <s v="Ray"/>
    <s v="HFS"/>
    <s v=""/>
    <s v=""/>
    <s v="Laura.Ray@illinois.gov"/>
    <s v=""/>
    <s v=""/>
    <s v=""/>
    <s v=""/>
    <s v=""/>
    <s v=""/>
    <s v=""/>
    <s v=""/>
    <s v=""/>
    <s v=""/>
    <s v=""/>
    <s v=""/>
    <s v=""/>
    <s v=""/>
    <s v=""/>
    <s v=""/>
    <s v="371616Newsletter Recipient"/>
    <m/>
    <x v="0"/>
  </r>
  <r>
    <n v="44249496"/>
    <b v="0"/>
    <b v="0"/>
    <b v="0"/>
    <b v="1"/>
    <b v="0"/>
    <b v="1"/>
    <b v="1"/>
    <b v="0"/>
    <b v="0"/>
    <n v="0"/>
    <n v="0"/>
    <m/>
    <d v="2018-06-26T00:00:00"/>
    <n v="32127162"/>
    <d v="2018-03-16T00:00:00"/>
    <m/>
    <m/>
    <s v=""/>
    <b v="0"/>
    <m/>
    <m/>
    <d v="2018-03-16T00:00:00"/>
    <m/>
    <n v="791522"/>
    <b v="1"/>
    <m/>
    <d v="2018-03-16T00:00:00"/>
    <m/>
    <x v="0"/>
    <b v="1"/>
    <n v="44249496"/>
    <s v="Mark"/>
    <s v="Reed"/>
    <s v="IlliniCare Health"/>
    <s v=""/>
    <s v=""/>
    <s v="mark.a.reed@illinicare.com"/>
    <s v=""/>
    <s v=""/>
    <s v=""/>
    <s v=""/>
    <s v=""/>
    <s v=""/>
    <s v=""/>
    <s v=""/>
    <s v=""/>
    <s v=""/>
    <s v=""/>
    <s v=""/>
    <s v=""/>
    <s v=""/>
    <s v=""/>
    <s v=""/>
    <s v="335736Provider Relations - Committee Members, 335741Chief Executive Officer, 371616Newsletter Recipient, 372295Board of Directors/General Distribution List, 372296Legislative Committee, 443813Discharge Planning"/>
    <m/>
    <x v="0"/>
  </r>
  <r>
    <n v="37779439"/>
    <b v="0"/>
    <b v="0"/>
    <b v="0"/>
    <b v="1"/>
    <b v="0"/>
    <b v="1"/>
    <b v="1"/>
    <b v="0"/>
    <b v="0"/>
    <n v="0"/>
    <n v="0"/>
    <m/>
    <d v="2017-02-21T00:00:00"/>
    <n v="32127162"/>
    <d v="2017-02-21T00:00:00"/>
    <m/>
    <m/>
    <s v=""/>
    <b v="0"/>
    <m/>
    <m/>
    <d v="2017-02-20T00:00:00"/>
    <m/>
    <n v="791522"/>
    <b v="1"/>
    <m/>
    <m/>
    <m/>
    <x v="0"/>
    <b v="1"/>
    <n v="37779439"/>
    <s v="Steven"/>
    <s v="Reick"/>
    <s v="Illinois General Assembly"/>
    <s v=""/>
    <s v="Representative Steven Reick (R)_x000a_63rd District_x0009_ _x0009__x000a__x000a_Springfield Office:_x000a_230-N Stratton Office Building_x000a_Springfield, IL   62706_x000a_(217) 782-1717_x000a__x000a_District Office:_x000a_1072 Lake Avenue_x000a_Woodstock, IL  60098_x000a_(815) 880-5340"/>
    <s v=""/>
    <s v=""/>
    <s v=""/>
    <s v=""/>
    <s v=""/>
    <s v=""/>
    <s v=""/>
    <s v=""/>
    <s v=""/>
    <s v=""/>
    <s v=""/>
    <s v=""/>
    <s v=""/>
    <s v=""/>
    <s v=""/>
    <s v=""/>
    <s v=""/>
    <s v="371616Newsletter Recipient, 371627House of Representatives"/>
    <m/>
    <x v="0"/>
  </r>
  <r>
    <n v="37779444"/>
    <b v="0"/>
    <b v="0"/>
    <b v="0"/>
    <b v="1"/>
    <b v="0"/>
    <b v="1"/>
    <b v="1"/>
    <b v="0"/>
    <b v="0"/>
    <n v="0"/>
    <n v="0"/>
    <m/>
    <d v="2017-02-24T00:00:00"/>
    <n v="32127162"/>
    <d v="2017-02-21T00:00:00"/>
    <m/>
    <m/>
    <s v=""/>
    <b v="0"/>
    <m/>
    <m/>
    <d v="2017-02-20T00:00:00"/>
    <m/>
    <n v="791522"/>
    <b v="1"/>
    <m/>
    <m/>
    <m/>
    <x v="0"/>
    <b v="1"/>
    <n v="37779444"/>
    <s v="David"/>
    <s v="Reis"/>
    <s v="Illinois General Assembly"/>
    <s v=""/>
    <s v="Representative David B. Reis (R)_x000a_109th District_x000a_Assistant Republican Leader _x0009__x000a__x000a_Springfield Office:_x000a_632 Capitol Building_x000a_Springfield, IL   62706_x000a_(217) 782-2087_x000a_(217) 557-0571 FAX_x000a__x000a_District Office:_x000a_219 E. Main_x000a_P.O. Box 189_x000a_Olney, IL  62450_x000a_(618) 392-0108_x000a_(618) 392-0107 FAX"/>
    <s v="david@davidreis.org"/>
    <s v=""/>
    <s v=""/>
    <s v=""/>
    <s v=""/>
    <s v=""/>
    <s v=""/>
    <s v=""/>
    <s v=""/>
    <s v=""/>
    <s v=""/>
    <s v=""/>
    <s v=""/>
    <s v=""/>
    <s v=""/>
    <s v=""/>
    <s v=""/>
    <s v="371616Newsletter Recipient, 371627House of Representatives"/>
    <m/>
    <x v="0"/>
  </r>
  <r>
    <n v="37822625"/>
    <b v="0"/>
    <b v="0"/>
    <b v="0"/>
    <b v="1"/>
    <b v="0"/>
    <b v="1"/>
    <b v="1"/>
    <b v="0"/>
    <b v="0"/>
    <n v="0"/>
    <n v="0"/>
    <m/>
    <d v="2017-02-24T00:00:00"/>
    <n v="32127162"/>
    <d v="2017-02-24T00:00:00"/>
    <m/>
    <m/>
    <s v=""/>
    <b v="0"/>
    <m/>
    <m/>
    <d v="2017-02-24T00:00:00"/>
    <m/>
    <n v="791522"/>
    <b v="1"/>
    <m/>
    <m/>
    <m/>
    <x v="0"/>
    <b v="1"/>
    <n v="37822625"/>
    <s v="Juana"/>
    <s v="Reyes"/>
    <s v="Casa Central - South"/>
    <s v=""/>
    <s v=""/>
    <s v="jreyes@casacentral.org"/>
    <s v="773/645-2370"/>
    <s v=""/>
    <s v=""/>
    <s v=""/>
    <s v=""/>
    <s v=""/>
    <s v=""/>
    <s v=""/>
    <s v=""/>
    <s v=""/>
    <s v=""/>
    <s v=""/>
    <s v=""/>
    <s v=""/>
    <s v=""/>
    <s v=""/>
    <s v="371616Newsletter Recipient"/>
    <m/>
    <x v="0"/>
  </r>
  <r>
    <n v="34095930"/>
    <b v="0"/>
    <b v="0"/>
    <b v="0"/>
    <b v="1"/>
    <b v="0"/>
    <b v="1"/>
    <b v="1"/>
    <b v="0"/>
    <b v="0"/>
    <n v="0"/>
    <n v="0"/>
    <m/>
    <d v="2018-01-12T00:00:00"/>
    <n v="32127162"/>
    <d v="2016-08-30T00:00:00"/>
    <m/>
    <m/>
    <s v=""/>
    <b v="0"/>
    <m/>
    <m/>
    <d v="2016-08-29T00:00:00"/>
    <m/>
    <n v="791522"/>
    <b v="1"/>
    <m/>
    <m/>
    <m/>
    <x v="0"/>
    <b v="1"/>
    <n v="34095930"/>
    <s v="Lourdes"/>
    <s v="Reyes"/>
    <s v="FHN"/>
    <s v=""/>
    <s v="Vice President, UM and Care Transition"/>
    <s v="LReyes@myfhn.com"/>
    <s v="312-995-1881"/>
    <s v=""/>
    <s v=""/>
    <s v=""/>
    <s v=""/>
    <s v=""/>
    <s v=""/>
    <s v=""/>
    <s v=""/>
    <s v=""/>
    <s v=""/>
    <s v=""/>
    <s v=""/>
    <s v=""/>
    <s v=""/>
    <s v=""/>
    <m/>
    <m/>
    <x v="0"/>
  </r>
  <r>
    <n v="34087545"/>
    <b v="0"/>
    <b v="0"/>
    <b v="0"/>
    <b v="1"/>
    <b v="0"/>
    <b v="1"/>
    <b v="1"/>
    <b v="0"/>
    <b v="0"/>
    <n v="0"/>
    <n v="0"/>
    <m/>
    <d v="2018-02-07T00:00:00"/>
    <n v="32127162"/>
    <d v="2016-08-29T00:00:00"/>
    <m/>
    <m/>
    <s v=""/>
    <b v="0"/>
    <m/>
    <m/>
    <d v="2016-08-29T00:00:00"/>
    <m/>
    <n v="791522"/>
    <b v="1"/>
    <m/>
    <m/>
    <m/>
    <x v="0"/>
    <b v="1"/>
    <n v="34087545"/>
    <s v="Raul"/>
    <s v="Reyes"/>
    <s v="Molina Healthcare of Illinois, Inc."/>
    <s v=""/>
    <s v=""/>
    <s v="Raul.Reyes2@molinahealthcare.com"/>
    <s v="888-562-5442 ext 163950"/>
    <s v=""/>
    <s v=""/>
    <s v=""/>
    <s v=""/>
    <s v=""/>
    <s v=""/>
    <s v=""/>
    <s v=""/>
    <s v=""/>
    <s v=""/>
    <s v=""/>
    <s v=""/>
    <s v=""/>
    <s v=""/>
    <s v=""/>
    <s v="371616Newsletter Recipient, 372306Marketing Committee"/>
    <m/>
    <x v="0"/>
  </r>
  <r>
    <n v="41808022"/>
    <b v="0"/>
    <b v="0"/>
    <b v="0"/>
    <b v="1"/>
    <b v="0"/>
    <b v="1"/>
    <b v="1"/>
    <b v="0"/>
    <b v="0"/>
    <n v="0"/>
    <n v="0"/>
    <m/>
    <d v="2018-02-12T00:00:00"/>
    <n v="32127162"/>
    <d v="2017-09-30T00:00:00"/>
    <m/>
    <m/>
    <s v=""/>
    <b v="0"/>
    <m/>
    <m/>
    <d v="2017-09-29T00:00:00"/>
    <m/>
    <n v="791522"/>
    <b v="1"/>
    <m/>
    <d v="2017-09-30T00:00:00"/>
    <m/>
    <x v="0"/>
    <b v="1"/>
    <n v="41808022"/>
    <s v="Garth"/>
    <s v="Reynolds"/>
    <s v="Illinois Pharmacists Association"/>
    <s v=""/>
    <s v=""/>
    <s v="greynolds@ipha.org"/>
    <s v=""/>
    <s v=""/>
    <s v=""/>
    <s v="goprph@gmail.com"/>
    <s v=""/>
    <s v=""/>
    <s v=""/>
    <s v=""/>
    <s v=""/>
    <s v=""/>
    <s v=""/>
    <s v=""/>
    <s v=""/>
    <s v=""/>
    <s v=""/>
    <s v=""/>
    <s v="371616Newsletter Recipient"/>
    <m/>
    <x v="0"/>
  </r>
  <r>
    <n v="42782909"/>
    <b v="0"/>
    <b v="0"/>
    <b v="0"/>
    <b v="1"/>
    <b v="0"/>
    <b v="1"/>
    <b v="1"/>
    <b v="0"/>
    <b v="0"/>
    <n v="0"/>
    <n v="0"/>
    <m/>
    <d v="2017-11-29T00:00:00"/>
    <n v="32127162"/>
    <d v="2017-11-29T00:00:00"/>
    <m/>
    <m/>
    <s v=""/>
    <b v="0"/>
    <m/>
    <m/>
    <d v="2017-11-29T00:00:00"/>
    <m/>
    <n v="791522"/>
    <b v="1"/>
    <m/>
    <d v="2017-11-29T00:00:00"/>
    <m/>
    <x v="0"/>
    <b v="1"/>
    <n v="42782909"/>
    <s v="MAYEMA"/>
    <s v="REYNOLDS"/>
    <s v="COMMUNITY HEALTH CARE, INC."/>
    <s v=""/>
    <s v=""/>
    <s v="mreynolds@chcqca.org"/>
    <s v=""/>
    <s v=""/>
    <s v=""/>
    <s v=""/>
    <s v=""/>
    <s v=""/>
    <s v=""/>
    <s v="COMMUNITY HEALTH CARE, INC."/>
    <s v=""/>
    <s v=""/>
    <s v=""/>
    <s v=""/>
    <s v=""/>
    <s v=""/>
    <s v=""/>
    <s v=""/>
    <s v="371616Newsletter Recipient"/>
    <m/>
    <x v="0"/>
  </r>
  <r>
    <n v="37770830"/>
    <b v="0"/>
    <b v="0"/>
    <b v="0"/>
    <b v="1"/>
    <b v="0"/>
    <b v="1"/>
    <b v="1"/>
    <b v="0"/>
    <b v="0"/>
    <n v="0"/>
    <n v="0"/>
    <m/>
    <d v="2017-02-24T00:00:00"/>
    <n v="32127162"/>
    <d v="2017-02-20T00:00:00"/>
    <m/>
    <m/>
    <s v=""/>
    <b v="0"/>
    <m/>
    <m/>
    <d v="2017-02-20T00:00:00"/>
    <m/>
    <n v="791522"/>
    <b v="1"/>
    <m/>
    <m/>
    <m/>
    <x v="0"/>
    <b v="1"/>
    <n v="37770830"/>
    <s v="Sue"/>
    <s v="Rezin"/>
    <s v="Illinois General Assembly"/>
    <s v=""/>
    <s v="Senator Sue Rezin (R)_x000a_38th District_x000a_Assistant Republican Leader _x0009__x000a__x000a_Springfield Office:_x000a_Senator 38th District_x000a_309J Capitol Building_x000a_Springfield, IL   62706_x000a_(217) 782-3840_x000a_(217) 782-7818 FAX_x000a_ _x000a_District Office:_x000a_350 5th Street_x000a_Suite 254_x000a_Peru, IL  61354_x000a_(815) 220-8720_x000a_(815) 220-8721 FAX"/>
    <s v=""/>
    <s v=""/>
    <s v=""/>
    <s v=""/>
    <s v=""/>
    <s v=""/>
    <s v="(217) 782-3840"/>
    <s v=""/>
    <s v=""/>
    <s v=""/>
    <s v=""/>
    <s v=""/>
    <s v=""/>
    <s v=""/>
    <s v=""/>
    <s v=""/>
    <s v=""/>
    <s v="371609Senator, 371616Newsletter Recipient"/>
    <m/>
    <x v="0"/>
  </r>
  <r>
    <n v="44308256"/>
    <b v="0"/>
    <b v="0"/>
    <b v="0"/>
    <b v="1"/>
    <b v="0"/>
    <b v="1"/>
    <b v="1"/>
    <b v="0"/>
    <b v="0"/>
    <n v="0"/>
    <n v="0"/>
    <m/>
    <d v="2018-03-20T00:00:00"/>
    <n v="32127162"/>
    <d v="2018-03-20T00:00:00"/>
    <m/>
    <m/>
    <s v=""/>
    <b v="0"/>
    <m/>
    <m/>
    <d v="2018-03-20T00:00:00"/>
    <m/>
    <n v="791522"/>
    <b v="1"/>
    <m/>
    <d v="2018-03-20T00:00:00"/>
    <m/>
    <x v="0"/>
    <b v="1"/>
    <n v="44308256"/>
    <s v="Sam"/>
    <s v="Rickert"/>
    <s v="Wakely Consulting"/>
    <s v=""/>
    <s v=""/>
    <s v="sam.rickert@wakely.com"/>
    <s v=""/>
    <s v=""/>
    <s v=""/>
    <s v=""/>
    <s v=""/>
    <s v=""/>
    <s v=""/>
    <s v=""/>
    <s v=""/>
    <s v=""/>
    <s v=""/>
    <s v=""/>
    <s v=""/>
    <s v=""/>
    <s v=""/>
    <s v=""/>
    <s v="371616Newsletter Recipient, 372294Finance Committee"/>
    <m/>
    <x v="0"/>
  </r>
  <r>
    <n v="38303710"/>
    <b v="0"/>
    <b v="0"/>
    <b v="0"/>
    <b v="1"/>
    <b v="0"/>
    <b v="1"/>
    <b v="1"/>
    <b v="0"/>
    <b v="0"/>
    <n v="0"/>
    <n v="0"/>
    <m/>
    <d v="2018-06-22T00:00:00"/>
    <n v="32127162"/>
    <d v="2017-03-29T00:00:00"/>
    <m/>
    <m/>
    <s v=""/>
    <b v="0"/>
    <m/>
    <m/>
    <d v="2017-03-29T00:00:00"/>
    <m/>
    <n v="791522"/>
    <b v="1"/>
    <m/>
    <m/>
    <m/>
    <x v="0"/>
    <b v="1"/>
    <n v="38303710"/>
    <s v="Lorrie"/>
    <s v="Rickman-Jones"/>
    <s v="NextLevel Health"/>
    <s v="Dr."/>
    <s v=""/>
    <s v="lorrie.rickman-jones@nlhpartners.com"/>
    <s v="(312) 300-5780 x456"/>
    <s v=""/>
    <s v=""/>
    <s v=""/>
    <s v=""/>
    <s v=""/>
    <s v=""/>
    <s v=""/>
    <s v=""/>
    <s v=""/>
    <s v=""/>
    <s v=""/>
    <s v=""/>
    <s v=""/>
    <s v=""/>
    <s v=""/>
    <s v="3767711115 Workgroup, 420925Community Mental Health - Care Coordination, 420946Mental Health - Care Coordination"/>
    <s v="10633527Care Coordination"/>
    <x v="0"/>
  </r>
  <r>
    <n v="37770837"/>
    <b v="0"/>
    <b v="0"/>
    <b v="0"/>
    <b v="1"/>
    <b v="0"/>
    <b v="1"/>
    <b v="1"/>
    <b v="0"/>
    <b v="0"/>
    <n v="0"/>
    <n v="0"/>
    <m/>
    <d v="2017-02-24T00:00:00"/>
    <n v="32127162"/>
    <d v="2017-02-20T00:00:00"/>
    <m/>
    <m/>
    <s v=""/>
    <b v="0"/>
    <m/>
    <m/>
    <d v="2017-02-20T00:00:00"/>
    <m/>
    <n v="791522"/>
    <b v="1"/>
    <m/>
    <m/>
    <m/>
    <x v="0"/>
    <b v="1"/>
    <n v="37770837"/>
    <s v="Dale"/>
    <s v="Righter"/>
    <s v="Illinois General Assembly"/>
    <s v="Senator"/>
    <s v="Senator Dale A. Righter (R)_x000a_55th District_x0009_ _x0009__x000a__x000a_Springfield Office:_x000a_Senator 55th District_x000a_309M Capitol Building_x000a_Springfield, IL   62706_x000a_(217) 782-6674_x000a_(217) 782-7818 FAX_x000a_ _x000a_District Office:_x000a_88 Broadway Ave._x000a_Suite 1_x000a_Mattoon, IL  61938_x000a_(217) 235-6033_x000a_(217) 235-6052 FAX"/>
    <s v="drighter@consolidated.net"/>
    <s v=""/>
    <s v=""/>
    <s v=""/>
    <s v=""/>
    <s v=""/>
    <s v="(217) 782-6674"/>
    <s v=""/>
    <s v=""/>
    <s v=""/>
    <s v=""/>
    <s v=""/>
    <s v=""/>
    <s v=""/>
    <s v=""/>
    <s v=""/>
    <s v=""/>
    <s v="371609Senator, 371616Newsletter Recipient"/>
    <m/>
    <x v="0"/>
  </r>
  <r>
    <n v="37779447"/>
    <b v="0"/>
    <b v="0"/>
    <b v="0"/>
    <b v="1"/>
    <b v="0"/>
    <b v="1"/>
    <b v="1"/>
    <b v="0"/>
    <b v="0"/>
    <n v="0"/>
    <n v="0"/>
    <m/>
    <d v="2017-02-24T00:00:00"/>
    <n v="32127162"/>
    <d v="2017-02-21T00:00:00"/>
    <m/>
    <m/>
    <s v=""/>
    <b v="0"/>
    <m/>
    <m/>
    <d v="2017-02-20T00:00:00"/>
    <m/>
    <n v="791522"/>
    <b v="1"/>
    <m/>
    <m/>
    <m/>
    <x v="0"/>
    <b v="1"/>
    <n v="37779447"/>
    <s v="Al"/>
    <s v="Riley"/>
    <s v="Illinois General Assembly"/>
    <s v=""/>
    <s v="Representative Al Riley (D)_x000a_38th District_x0009_ _x0009__x000a__x000a_Springfield Office:_x000a_262-W Stratton Office Building_x000a_Springfield, IL   62706_x000a_(217) 558-1007_x000a_(217) 557-1664 FAX_x000a__x000a_District Office:_x000a_3649 W. 183rd St._x000a_Suite 102_x000a_Hazel Crest, IL  60429_x000a_(708) 799-4364_x000a_(708) 799-4481 FAX"/>
    <s v="rep.riley38@sbcglobal.net"/>
    <s v=""/>
    <s v=""/>
    <s v=""/>
    <s v=""/>
    <s v=""/>
    <s v=""/>
    <s v=""/>
    <s v=""/>
    <s v=""/>
    <s v=""/>
    <s v=""/>
    <s v=""/>
    <s v=""/>
    <s v=""/>
    <s v=""/>
    <s v=""/>
    <s v="371616Newsletter Recipient, 371627House of Representatives"/>
    <m/>
    <x v="0"/>
  </r>
  <r>
    <n v="37779450"/>
    <b v="0"/>
    <b v="0"/>
    <b v="0"/>
    <b v="1"/>
    <b v="0"/>
    <b v="1"/>
    <b v="1"/>
    <b v="0"/>
    <b v="0"/>
    <n v="0"/>
    <n v="0"/>
    <m/>
    <d v="2017-02-24T00:00:00"/>
    <n v="32127162"/>
    <d v="2017-02-21T00:00:00"/>
    <m/>
    <m/>
    <s v=""/>
    <b v="0"/>
    <m/>
    <m/>
    <d v="2017-02-20T00:00:00"/>
    <m/>
    <n v="791522"/>
    <b v="1"/>
    <m/>
    <m/>
    <m/>
    <x v="0"/>
    <b v="1"/>
    <n v="37779450"/>
    <s v="Robert"/>
    <s v="Rita"/>
    <s v="Illinois General Assembly"/>
    <s v=""/>
    <s v="Representative Robert Rita (D)_x000a_28th District_x0009__x000a__x000a_Springfield Office:_x000a_267-S Stratton Office Building_x000a_Springfield, IL   62706_x000a_(217) 558-1000_x000a_(217) 558-1091 FAX_x000a__x000a_District Office:_x000a_2355 West York Street_x000a_Suite 1_x000a_Blue Island, IL  60406_x000a_(708) 396-2822_x000a_(708) 396-2898 FAX"/>
    <s v="robertbobrita@aol.com"/>
    <s v=""/>
    <s v=""/>
    <s v=""/>
    <s v=""/>
    <s v=""/>
    <s v=""/>
    <s v=""/>
    <s v=""/>
    <s v=""/>
    <s v=""/>
    <s v=""/>
    <s v=""/>
    <s v=""/>
    <s v=""/>
    <s v=""/>
    <s v=""/>
    <s v="371616Newsletter Recipient, 371627House of Representatives"/>
    <m/>
    <x v="0"/>
  </r>
  <r>
    <n v="46699340"/>
    <b v="0"/>
    <b v="0"/>
    <b v="0"/>
    <b v="1"/>
    <b v="0"/>
    <b v="1"/>
    <b v="1"/>
    <b v="0"/>
    <b v="0"/>
    <n v="0"/>
    <n v="0"/>
    <m/>
    <d v="2018-06-29T00:00:00"/>
    <n v="32127162"/>
    <d v="2018-06-29T00:00:00"/>
    <m/>
    <m/>
    <s v=""/>
    <b v="0"/>
    <m/>
    <m/>
    <d v="2018-06-29T00:00:00"/>
    <m/>
    <n v="791522"/>
    <b v="1"/>
    <m/>
    <d v="2018-06-29T00:00:00"/>
    <m/>
    <x v="0"/>
    <b v="1"/>
    <n v="46699340"/>
    <s v="Erika"/>
    <s v="Robertson"/>
    <s v="CountyCare Health Plan"/>
    <s v=""/>
    <s v=""/>
    <s v="erika.robertson@cookcountyhhs.org"/>
    <s v=""/>
    <s v=""/>
    <s v=""/>
    <s v=""/>
    <s v=""/>
    <s v=""/>
    <s v=""/>
    <s v="CountyCare Health Plan"/>
    <s v=""/>
    <s v=""/>
    <s v=""/>
    <s v=""/>
    <s v=""/>
    <s v=""/>
    <s v=""/>
    <s v=""/>
    <s v="371616Newsletter Recipient, 3767711115 Workgroup"/>
    <m/>
    <x v="0"/>
  </r>
  <r>
    <n v="43418699"/>
    <b v="0"/>
    <b v="0"/>
    <b v="0"/>
    <b v="1"/>
    <b v="0"/>
    <b v="1"/>
    <b v="1"/>
    <b v="0"/>
    <b v="0"/>
    <n v="0"/>
    <n v="0"/>
    <m/>
    <d v="2018-01-22T00:00:00"/>
    <n v="32127162"/>
    <d v="2018-01-22T00:00:00"/>
    <m/>
    <m/>
    <s v=""/>
    <b v="0"/>
    <m/>
    <m/>
    <d v="2018-01-22T00:00:00"/>
    <m/>
    <n v="791522"/>
    <b v="1"/>
    <m/>
    <d v="2018-01-22T00:00:00"/>
    <m/>
    <x v="0"/>
    <b v="1"/>
    <n v="43418699"/>
    <s v="Lynsey"/>
    <s v="Robertson"/>
    <s v="Molina Healthcare of Illinois, Inc."/>
    <s v=""/>
    <s v=""/>
    <s v="Lynsey.Robertson@molinehealthcare.com"/>
    <s v=""/>
    <s v=""/>
    <s v=""/>
    <s v=""/>
    <s v=""/>
    <s v=""/>
    <s v=""/>
    <s v=""/>
    <s v=""/>
    <s v=""/>
    <s v=""/>
    <s v=""/>
    <s v=""/>
    <s v=""/>
    <s v=""/>
    <s v=""/>
    <s v="371616Newsletter Recipient, 3767711115 Workgroup"/>
    <m/>
    <x v="0"/>
  </r>
  <r>
    <n v="41117289"/>
    <b v="0"/>
    <b v="0"/>
    <b v="1"/>
    <b v="1"/>
    <b v="0"/>
    <b v="1"/>
    <b v="1"/>
    <b v="0"/>
    <b v="0"/>
    <n v="0"/>
    <n v="0"/>
    <m/>
    <d v="2017-10-17T00:00:00"/>
    <n v="32127162"/>
    <d v="2017-08-21T00:00:00"/>
    <m/>
    <m/>
    <s v=""/>
    <b v="0"/>
    <m/>
    <m/>
    <d v="2017-08-21T00:00:00"/>
    <m/>
    <n v="791522"/>
    <b v="1"/>
    <m/>
    <m/>
    <m/>
    <x v="0"/>
    <b v="1"/>
    <n v="41117289"/>
    <s v="Carla"/>
    <s v="Robinson"/>
    <s v="Canary Telehealth, Inc."/>
    <s v="Chief Executive Officer"/>
    <s v=""/>
    <s v="crobinson@canarytelehealth.com"/>
    <s v="312-780-0812"/>
    <s v=""/>
    <s v=""/>
    <s v=""/>
    <s v=""/>
    <s v=""/>
    <s v=""/>
    <s v="Canary Telehealth, Inc."/>
    <s v=""/>
    <s v=""/>
    <s v=""/>
    <s v=""/>
    <s v=""/>
    <s v=""/>
    <s v=""/>
    <s v=""/>
    <s v="371616Newsletter Recipient, 372311Business Member"/>
    <m/>
    <x v="0"/>
  </r>
  <r>
    <n v="41056947"/>
    <b v="0"/>
    <b v="0"/>
    <b v="1"/>
    <b v="1"/>
    <b v="0"/>
    <b v="1"/>
    <b v="1"/>
    <b v="0"/>
    <b v="0"/>
    <n v="0"/>
    <n v="0"/>
    <m/>
    <d v="2017-10-17T00:00:00"/>
    <n v="32127162"/>
    <d v="2017-08-18T00:00:00"/>
    <m/>
    <m/>
    <s v=""/>
    <b v="0"/>
    <m/>
    <m/>
    <d v="2017-10-17T00:00:00"/>
    <m/>
    <n v="791522"/>
    <b v="1"/>
    <m/>
    <d v="2017-10-17T00:00:00"/>
    <m/>
    <x v="0"/>
    <b v="1"/>
    <n v="41056947"/>
    <s v="Sam"/>
    <s v="Robinson, PhD"/>
    <s v="Canary Telehealth, Inc."/>
    <s v="President and Founder"/>
    <s v=""/>
    <s v="srobinson@canarytelehealth.com"/>
    <s v="312-780-0812"/>
    <s v=""/>
    <s v=""/>
    <s v=""/>
    <s v=""/>
    <s v=""/>
    <s v=""/>
    <s v=""/>
    <s v=""/>
    <s v=""/>
    <s v=""/>
    <s v="BEP"/>
    <s v="3151 S. Michigan Ave."/>
    <s v="Chicago"/>
    <s v="IL"/>
    <s v="60616"/>
    <s v="371616Newsletter Recipient, 372311Business Member"/>
    <m/>
    <x v="0"/>
  </r>
  <r>
    <n v="37819902"/>
    <b v="0"/>
    <b v="0"/>
    <b v="0"/>
    <b v="1"/>
    <b v="0"/>
    <b v="1"/>
    <b v="1"/>
    <b v="0"/>
    <b v="0"/>
    <n v="0"/>
    <n v="0"/>
    <m/>
    <d v="2018-05-29T00:00:00"/>
    <n v="32127162"/>
    <d v="2017-02-24T00:00:00"/>
    <m/>
    <m/>
    <s v=""/>
    <b v="0"/>
    <m/>
    <m/>
    <d v="2017-02-24T00:00:00"/>
    <m/>
    <n v="791522"/>
    <b v="1"/>
    <m/>
    <m/>
    <m/>
    <x v="0"/>
    <b v="1"/>
    <n v="37819902"/>
    <s v="Fredy"/>
    <s v="Rocha"/>
    <s v="IlliniCare Health"/>
    <s v=""/>
    <s v=""/>
    <s v="FRROCHA@illinicare.com"/>
    <s v=""/>
    <s v=""/>
    <s v=""/>
    <s v=""/>
    <s v=""/>
    <s v=""/>
    <s v=""/>
    <s v=""/>
    <s v=""/>
    <s v=""/>
    <s v=""/>
    <s v=""/>
    <s v=""/>
    <s v=""/>
    <s v=""/>
    <s v=""/>
    <s v="371616Newsletter Recipient, 372297Operations Committee, 447857HFS Ops Workgroup"/>
    <m/>
    <x v="0"/>
  </r>
  <r>
    <n v="42366077"/>
    <b v="0"/>
    <b v="0"/>
    <b v="0"/>
    <b v="1"/>
    <b v="0"/>
    <b v="1"/>
    <b v="1"/>
    <b v="0"/>
    <b v="0"/>
    <n v="0"/>
    <n v="0"/>
    <m/>
    <d v="2018-02-12T00:00:00"/>
    <n v="32127162"/>
    <d v="2017-10-31T00:00:00"/>
    <m/>
    <m/>
    <s v=""/>
    <b v="0"/>
    <m/>
    <m/>
    <d v="2017-10-31T00:00:00"/>
    <m/>
    <n v="791522"/>
    <b v="1"/>
    <m/>
    <d v="2017-10-31T00:00:00"/>
    <m/>
    <x v="0"/>
    <b v="1"/>
    <n v="42366077"/>
    <s v="Pauline"/>
    <s v="Rochfort"/>
    <s v="Ecker Center For Mental Health"/>
    <s v=""/>
    <s v=""/>
    <s v="prochfort@eckercenter.org"/>
    <s v=""/>
    <s v=""/>
    <s v=""/>
    <s v=""/>
    <s v=""/>
    <s v=""/>
    <s v=""/>
    <s v=""/>
    <s v=""/>
    <s v=""/>
    <s v=""/>
    <s v=""/>
    <s v=""/>
    <s v=""/>
    <s v=""/>
    <s v=""/>
    <s v="371616Newsletter Recipient"/>
    <m/>
    <x v="0"/>
  </r>
  <r>
    <n v="44047407"/>
    <b v="0"/>
    <b v="0"/>
    <b v="0"/>
    <b v="1"/>
    <b v="0"/>
    <b v="1"/>
    <b v="1"/>
    <b v="0"/>
    <b v="0"/>
    <n v="0"/>
    <n v="0"/>
    <m/>
    <d v="2018-03-02T00:00:00"/>
    <n v="32127162"/>
    <d v="2018-03-02T00:00:00"/>
    <m/>
    <m/>
    <s v=""/>
    <b v="0"/>
    <m/>
    <m/>
    <d v="2018-03-02T00:00:00"/>
    <m/>
    <n v="791522"/>
    <b v="1"/>
    <m/>
    <d v="2018-03-02T00:00:00"/>
    <m/>
    <x v="0"/>
    <b v="1"/>
    <n v="44047407"/>
    <s v="Camille"/>
    <s v="Rodriguez"/>
    <s v="McLean County Health Department"/>
    <s v=""/>
    <s v=""/>
    <s v="camille.rodriguez@mcleancountyil.gov"/>
    <s v=""/>
    <s v=""/>
    <s v=""/>
    <s v=""/>
    <s v=""/>
    <s v=""/>
    <s v=""/>
    <s v=""/>
    <s v=""/>
    <s v=""/>
    <s v=""/>
    <s v=""/>
    <s v=""/>
    <s v=""/>
    <s v=""/>
    <s v=""/>
    <s v="371616Newsletter Recipient"/>
    <m/>
    <x v="0"/>
  </r>
  <r>
    <n v="38299518"/>
    <b v="0"/>
    <b v="0"/>
    <b v="0"/>
    <b v="1"/>
    <b v="0"/>
    <b v="1"/>
    <b v="1"/>
    <b v="0"/>
    <b v="0"/>
    <n v="0"/>
    <n v="0"/>
    <m/>
    <d v="2018-03-02T00:00:00"/>
    <n v="32127162"/>
    <d v="2017-03-29T00:00:00"/>
    <m/>
    <m/>
    <s v=""/>
    <b v="0"/>
    <m/>
    <m/>
    <d v="2017-03-29T00:00:00"/>
    <m/>
    <n v="791522"/>
    <b v="1"/>
    <m/>
    <m/>
    <m/>
    <x v="0"/>
    <b v="1"/>
    <n v="38299518"/>
    <s v="Felix"/>
    <s v="Rodriguez"/>
    <s v="CountyCare Health Plan"/>
    <s v=""/>
    <s v="Care Coordination"/>
    <s v="frodriguez2@cookcountyhhs.org"/>
    <s v="312-864-1163"/>
    <s v=""/>
    <s v=""/>
    <s v=""/>
    <s v=""/>
    <s v=""/>
    <s v=""/>
    <s v=""/>
    <s v=""/>
    <s v=""/>
    <s v=""/>
    <s v=""/>
    <s v=""/>
    <s v=""/>
    <s v=""/>
    <s v=""/>
    <s v="3767711115 Workgroup"/>
    <m/>
    <x v="0"/>
  </r>
  <r>
    <n v="34089043"/>
    <b v="0"/>
    <b v="0"/>
    <b v="0"/>
    <b v="1"/>
    <b v="0"/>
    <b v="1"/>
    <b v="1"/>
    <b v="0"/>
    <b v="0"/>
    <n v="0"/>
    <n v="0"/>
    <m/>
    <d v="2018-03-21T00:00:00"/>
    <n v="32127162"/>
    <d v="2016-08-29T00:00:00"/>
    <m/>
    <m/>
    <s v=""/>
    <b v="0"/>
    <m/>
    <m/>
    <d v="2016-08-29T00:00:00"/>
    <m/>
    <n v="791522"/>
    <b v="1"/>
    <m/>
    <m/>
    <m/>
    <x v="0"/>
    <b v="1"/>
    <n v="34089043"/>
    <s v="Karina"/>
    <s v="Rodriguez"/>
    <s v="Family Health Network/Community Care Alliance of Illinois"/>
    <s v=""/>
    <s v=""/>
    <s v="KRodriguez@myfhn.com"/>
    <s v="312-605-9804"/>
    <s v=""/>
    <s v=""/>
    <s v=""/>
    <s v=""/>
    <s v=""/>
    <s v=""/>
    <s v=""/>
    <s v=""/>
    <s v=""/>
    <s v=""/>
    <s v=""/>
    <s v=""/>
    <s v=""/>
    <s v=""/>
    <s v=""/>
    <m/>
    <m/>
    <x v="0"/>
  </r>
  <r>
    <n v="37822820"/>
    <b v="0"/>
    <b v="0"/>
    <b v="0"/>
    <b v="1"/>
    <b v="0"/>
    <b v="1"/>
    <b v="1"/>
    <b v="0"/>
    <b v="0"/>
    <n v="0"/>
    <n v="0"/>
    <m/>
    <d v="2017-02-24T00:00:00"/>
    <n v="32127162"/>
    <d v="2017-02-24T00:00:00"/>
    <m/>
    <m/>
    <s v=""/>
    <b v="0"/>
    <m/>
    <m/>
    <d v="2017-02-24T00:00:00"/>
    <m/>
    <n v="791522"/>
    <b v="1"/>
    <m/>
    <m/>
    <m/>
    <x v="0"/>
    <b v="1"/>
    <n v="37822820"/>
    <s v="Pam"/>
    <s v="Rodriguez"/>
    <s v="TASC"/>
    <s v=""/>
    <s v=""/>
    <s v="prodriguez@tasc-il.org"/>
    <s v=""/>
    <s v=""/>
    <s v=""/>
    <s v=""/>
    <s v=""/>
    <s v=""/>
    <s v=""/>
    <s v=""/>
    <s v=""/>
    <s v=""/>
    <s v=""/>
    <s v=""/>
    <s v=""/>
    <s v=""/>
    <s v=""/>
    <s v=""/>
    <s v="371616Newsletter Recipient"/>
    <m/>
    <x v="0"/>
  </r>
  <r>
    <n v="46436504"/>
    <b v="0"/>
    <b v="0"/>
    <b v="0"/>
    <b v="1"/>
    <b v="0"/>
    <b v="1"/>
    <b v="1"/>
    <b v="0"/>
    <b v="0"/>
    <n v="0"/>
    <n v="0"/>
    <m/>
    <d v="2018-06-21T00:00:00"/>
    <n v="32127162"/>
    <d v="2018-06-21T00:00:00"/>
    <m/>
    <m/>
    <s v=""/>
    <b v="0"/>
    <m/>
    <m/>
    <d v="2018-06-21T00:00:00"/>
    <m/>
    <n v="791522"/>
    <b v="1"/>
    <m/>
    <d v="2018-06-21T00:00:00"/>
    <m/>
    <x v="0"/>
    <b v="1"/>
    <n v="46436504"/>
    <s v="Kathryn"/>
    <s v="Roe"/>
    <s v="Health Law Consultancy"/>
    <s v=""/>
    <s v=""/>
    <s v="kroe@hlconsultancy.com"/>
    <s v=""/>
    <s v=""/>
    <s v=""/>
    <s v=""/>
    <s v=""/>
    <s v=""/>
    <s v=""/>
    <s v="Health Law Consultancy"/>
    <s v=""/>
    <s v=""/>
    <s v=""/>
    <s v=""/>
    <s v=""/>
    <s v=""/>
    <s v=""/>
    <s v=""/>
    <s v="371616Newsletter Recipient"/>
    <m/>
    <x v="0"/>
  </r>
  <r>
    <n v="44181704"/>
    <b v="0"/>
    <b v="0"/>
    <b v="0"/>
    <b v="1"/>
    <b v="0"/>
    <b v="1"/>
    <b v="1"/>
    <b v="0"/>
    <b v="0"/>
    <n v="0"/>
    <n v="0"/>
    <m/>
    <d v="2018-03-13T00:00:00"/>
    <n v="32127162"/>
    <d v="2018-03-13T00:00:00"/>
    <m/>
    <m/>
    <s v=""/>
    <b v="0"/>
    <m/>
    <m/>
    <d v="2018-03-13T00:00:00"/>
    <m/>
    <n v="791522"/>
    <b v="1"/>
    <m/>
    <d v="2018-03-13T00:00:00"/>
    <m/>
    <x v="0"/>
    <b v="1"/>
    <n v="44181704"/>
    <s v="Brenda"/>
    <s v="Rogers"/>
    <s v="The Gemini Group, LTD"/>
    <s v=""/>
    <s v=""/>
    <s v="brenda.rogers@gemini-ii.com"/>
    <s v=""/>
    <s v=""/>
    <s v=""/>
    <s v=""/>
    <s v=""/>
    <s v=""/>
    <s v=""/>
    <s v=""/>
    <s v=""/>
    <s v=""/>
    <s v=""/>
    <s v=""/>
    <s v=""/>
    <s v=""/>
    <s v=""/>
    <s v=""/>
    <s v="371616Newsletter Recipient, 372306Marketing Committee"/>
    <m/>
    <x v="0"/>
  </r>
  <r>
    <n v="43487288"/>
    <b v="0"/>
    <b v="0"/>
    <b v="0"/>
    <b v="1"/>
    <b v="0"/>
    <b v="1"/>
    <b v="1"/>
    <b v="0"/>
    <b v="0"/>
    <n v="0"/>
    <n v="0"/>
    <m/>
    <d v="2018-02-26T00:00:00"/>
    <n v="32127162"/>
    <d v="2018-01-29T00:00:00"/>
    <m/>
    <m/>
    <s v=""/>
    <b v="0"/>
    <m/>
    <m/>
    <d v="2018-01-28T00:00:00"/>
    <m/>
    <n v="791522"/>
    <b v="1"/>
    <m/>
    <d v="2018-01-29T00:00:00"/>
    <m/>
    <x v="0"/>
    <b v="1"/>
    <n v="43487288"/>
    <s v="Frank"/>
    <s v="Roland"/>
    <s v="Blue Cross Blue Shield of Illinois"/>
    <s v=""/>
    <s v=""/>
    <s v="Frank_D_Roland@bcbsnm.com"/>
    <s v="(505) 816-2959"/>
    <s v=""/>
    <s v=""/>
    <s v=""/>
    <s v=""/>
    <s v=""/>
    <s v=""/>
    <s v=""/>
    <s v=""/>
    <s v=""/>
    <s v=""/>
    <s v=""/>
    <s v=""/>
    <s v=""/>
    <s v=""/>
    <s v=""/>
    <s v="371616Newsletter Recipient, 420971Pharmacy/Pharmaceuticals - Claims &amp; Billing, 428788Pharmacy Director Committee"/>
    <s v="10633526Claims/Billing"/>
    <x v="0"/>
  </r>
  <r>
    <n v="37770844"/>
    <b v="0"/>
    <b v="0"/>
    <b v="0"/>
    <b v="1"/>
    <b v="0"/>
    <b v="1"/>
    <b v="1"/>
    <b v="0"/>
    <b v="0"/>
    <n v="0"/>
    <n v="0"/>
    <m/>
    <d v="2017-02-24T00:00:00"/>
    <n v="32127162"/>
    <d v="2017-02-20T00:00:00"/>
    <m/>
    <m/>
    <s v=""/>
    <b v="0"/>
    <m/>
    <m/>
    <d v="2017-02-20T00:00:00"/>
    <m/>
    <n v="791522"/>
    <b v="1"/>
    <m/>
    <m/>
    <m/>
    <x v="0"/>
    <b v="1"/>
    <n v="37770844"/>
    <s v="Tom"/>
    <s v="Rooney"/>
    <s v="Illinois General Assembly"/>
    <s v=""/>
    <s v="Senator Tom Rooney (R)_x000a_27th District_x0009__x000a__x000a_Springfield Office:_x000a_Senator 27th District_x000a_105A Capitol Building_x000a_Springfield, IL   62706_x000a_(217) 782-4471_x000a_(217) 782-0661 FAX_x000a_ _x000a_District Office:_x000a_1 East Northwest Highway_x000a_Suite 109_x000a_Palatine, IL  60067_x000a_(847) 776-1490_x000a_(847) 776-1494 FAX"/>
    <s v=""/>
    <s v=""/>
    <s v=""/>
    <s v=""/>
    <s v=""/>
    <s v=""/>
    <s v="(217) 782-4471"/>
    <s v=""/>
    <s v=""/>
    <s v=""/>
    <s v=""/>
    <s v=""/>
    <s v=""/>
    <s v=""/>
    <s v=""/>
    <s v=""/>
    <s v=""/>
    <s v="371609Senator, 371616Newsletter Recipient"/>
    <m/>
    <x v="0"/>
  </r>
  <r>
    <n v="37822526"/>
    <b v="0"/>
    <b v="0"/>
    <b v="0"/>
    <b v="1"/>
    <b v="0"/>
    <b v="1"/>
    <b v="1"/>
    <b v="0"/>
    <b v="0"/>
    <n v="0"/>
    <n v="0"/>
    <m/>
    <d v="2017-02-24T00:00:00"/>
    <n v="32127162"/>
    <d v="2017-02-24T00:00:00"/>
    <m/>
    <m/>
    <s v=""/>
    <b v="0"/>
    <m/>
    <m/>
    <d v="2017-02-24T00:00:00"/>
    <m/>
    <n v="791522"/>
    <b v="1"/>
    <m/>
    <m/>
    <m/>
    <x v="0"/>
    <b v="1"/>
    <n v="37822526"/>
    <s v="Assistant to Senator Iris Y. Martinez"/>
    <s v="Rorama"/>
    <s v="Illinois General Assembly"/>
    <s v=""/>
    <s v=""/>
    <s v="rorama@senatedem.ilga.gov"/>
    <s v=""/>
    <s v=""/>
    <s v=""/>
    <s v=""/>
    <s v=""/>
    <s v=""/>
    <s v=""/>
    <s v=""/>
    <s v=""/>
    <s v=""/>
    <s v=""/>
    <s v=""/>
    <s v=""/>
    <s v=""/>
    <s v=""/>
    <s v=""/>
    <s v="371616Newsletter Recipient, 372319IGA Senate Staff"/>
    <m/>
    <x v="0"/>
  </r>
  <r>
    <n v="37770849"/>
    <b v="0"/>
    <b v="0"/>
    <b v="0"/>
    <b v="1"/>
    <b v="0"/>
    <b v="1"/>
    <b v="1"/>
    <b v="0"/>
    <b v="0"/>
    <n v="0"/>
    <n v="0"/>
    <m/>
    <d v="2017-02-24T00:00:00"/>
    <n v="32127162"/>
    <d v="2017-02-20T00:00:00"/>
    <m/>
    <m/>
    <s v=""/>
    <b v="0"/>
    <m/>
    <m/>
    <d v="2017-02-20T00:00:00"/>
    <m/>
    <n v="791522"/>
    <b v="1"/>
    <m/>
    <m/>
    <m/>
    <x v="0"/>
    <b v="1"/>
    <n v="37770849"/>
    <s v="Chapin"/>
    <s v="Rose"/>
    <s v="Illinois General Assembly"/>
    <s v=""/>
    <s v="Senator Chapin Rose (R)_x000a_51st District_x000a_Assistant Republican Leader _x0009__x000a__x000a_Springfield Office:_x000a_Senator 51st District_x000a_108E Capitol Building_x000a_Springfield, IL   62706_x000a_(217) 558-1006_x000a_ _x000a_District Office:_x000a_510 S. Staley Road_x000a_Suite D_x000a_Champaign, IL  61822_x000a_(217) 607-1853_x000a__x000a_5130 Hickory Point Frontage Road_x000a_Suite 103_x000a_Decatur, IL 62526_x000a_(217) 330-9356"/>
    <s v=""/>
    <s v=""/>
    <s v=""/>
    <s v=""/>
    <s v=""/>
    <s v=""/>
    <s v="(217) 558-1006"/>
    <s v=""/>
    <s v=""/>
    <s v=""/>
    <s v=""/>
    <s v=""/>
    <s v=""/>
    <s v=""/>
    <s v=""/>
    <s v=""/>
    <s v=""/>
    <s v="371609Senator, 371616Newsletter Recipient"/>
    <m/>
    <x v="0"/>
  </r>
  <r>
    <n v="37819904"/>
    <b v="0"/>
    <b v="0"/>
    <b v="0"/>
    <b v="1"/>
    <b v="0"/>
    <b v="1"/>
    <b v="1"/>
    <b v="0"/>
    <b v="0"/>
    <n v="0"/>
    <n v="0"/>
    <m/>
    <d v="2017-02-24T00:00:00"/>
    <n v="32127162"/>
    <d v="2017-02-24T00:00:00"/>
    <m/>
    <m/>
    <s v=""/>
    <b v="0"/>
    <m/>
    <m/>
    <d v="2017-02-24T00:00:00"/>
    <m/>
    <n v="791522"/>
    <b v="1"/>
    <m/>
    <m/>
    <m/>
    <x v="0"/>
    <b v="1"/>
    <n v="37819904"/>
    <s v="Craig"/>
    <s v="Rose"/>
    <s v="Aetna Better Health of Illinois"/>
    <s v=""/>
    <s v=""/>
    <s v="rosec2@aetna.com"/>
    <s v=""/>
    <s v=""/>
    <s v=""/>
    <s v=""/>
    <s v=""/>
    <s v=""/>
    <s v=""/>
    <s v=""/>
    <s v=""/>
    <s v=""/>
    <s v=""/>
    <s v=""/>
    <s v=""/>
    <s v=""/>
    <s v=""/>
    <s v=""/>
    <s v="371616Newsletter Recipient"/>
    <m/>
    <x v="0"/>
  </r>
  <r>
    <n v="44257448"/>
    <b v="0"/>
    <b v="0"/>
    <b v="0"/>
    <b v="1"/>
    <b v="0"/>
    <b v="1"/>
    <b v="1"/>
    <b v="0"/>
    <b v="0"/>
    <n v="0"/>
    <n v="0"/>
    <m/>
    <d v="2018-05-29T00:00:00"/>
    <n v="32127162"/>
    <d v="2018-03-16T00:00:00"/>
    <m/>
    <m/>
    <s v=""/>
    <b v="0"/>
    <m/>
    <m/>
    <d v="2018-03-16T00:00:00"/>
    <m/>
    <n v="791522"/>
    <b v="1"/>
    <m/>
    <d v="2018-03-16T00:00:00"/>
    <m/>
    <x v="0"/>
    <b v="1"/>
    <n v="44257448"/>
    <s v="Kevin"/>
    <s v="Rose"/>
    <s v="IlliniCare Health"/>
    <s v=""/>
    <s v=""/>
    <s v="erose@illinicare.com"/>
    <s v=""/>
    <s v=""/>
    <s v=""/>
    <s v=""/>
    <s v=""/>
    <s v=""/>
    <s v=""/>
    <s v=""/>
    <s v=""/>
    <s v=""/>
    <s v=""/>
    <s v=""/>
    <s v=""/>
    <s v=""/>
    <s v=""/>
    <s v=""/>
    <s v="371616Newsletter Recipient, 372297Operations Committee, 447857HFS Ops Workgroup"/>
    <m/>
    <x v="0"/>
  </r>
  <r>
    <n v="34089076"/>
    <b v="0"/>
    <b v="0"/>
    <b v="0"/>
    <b v="1"/>
    <b v="0"/>
    <b v="1"/>
    <b v="1"/>
    <b v="0"/>
    <b v="0"/>
    <n v="0"/>
    <n v="0"/>
    <m/>
    <d v="2018-05-18T00:00:00"/>
    <n v="32127162"/>
    <d v="2016-08-29T00:00:00"/>
    <m/>
    <m/>
    <s v=""/>
    <b v="0"/>
    <m/>
    <m/>
    <d v="2016-08-29T00:00:00"/>
    <m/>
    <n v="791522"/>
    <b v="1"/>
    <m/>
    <m/>
    <m/>
    <x v="0"/>
    <b v="1"/>
    <n v="34089076"/>
    <s v="Theresa"/>
    <s v="Rosemann"/>
    <s v="Harmony Health Plan of Illinois - A WellCare Company"/>
    <s v=""/>
    <s v=""/>
    <s v="Theresa.Rosemann@wellcare.com"/>
    <s v="312-771-8405"/>
    <s v=""/>
    <s v=""/>
    <s v=""/>
    <s v=""/>
    <s v=""/>
    <s v=""/>
    <s v=""/>
    <s v=""/>
    <s v=""/>
    <s v=""/>
    <s v=""/>
    <s v=""/>
    <s v=""/>
    <s v=""/>
    <s v=""/>
    <s v="371616Newsletter Recipient, 443814Billing Working Group"/>
    <m/>
    <x v="0"/>
  </r>
  <r>
    <n v="42039505"/>
    <b v="0"/>
    <b v="0"/>
    <b v="0"/>
    <b v="1"/>
    <b v="0"/>
    <b v="1"/>
    <b v="1"/>
    <b v="0"/>
    <b v="0"/>
    <n v="0"/>
    <n v="0"/>
    <m/>
    <d v="2017-10-20T00:00:00"/>
    <n v="32127162"/>
    <d v="2017-10-20T00:00:00"/>
    <m/>
    <m/>
    <s v=""/>
    <b v="0"/>
    <m/>
    <m/>
    <d v="2017-10-20T00:00:00"/>
    <m/>
    <n v="791522"/>
    <b v="1"/>
    <m/>
    <d v="2017-10-20T00:00:00"/>
    <m/>
    <x v="0"/>
    <b v="1"/>
    <n v="42039505"/>
    <s v="Ronda"/>
    <s v="Rovenstine"/>
    <s v="Community Resource Center"/>
    <s v=""/>
    <s v=""/>
    <s v="rrovenstine@crconline.info"/>
    <s v=""/>
    <s v=""/>
    <s v=""/>
    <s v=""/>
    <s v=""/>
    <s v=""/>
    <s v=""/>
    <s v=""/>
    <s v=""/>
    <s v=""/>
    <s v=""/>
    <s v=""/>
    <s v=""/>
    <s v=""/>
    <s v=""/>
    <s v=""/>
    <s v="371616Newsletter Recipient"/>
    <m/>
    <x v="0"/>
  </r>
  <r>
    <n v="44026524"/>
    <b v="0"/>
    <b v="0"/>
    <b v="0"/>
    <b v="1"/>
    <b v="0"/>
    <b v="1"/>
    <b v="1"/>
    <b v="0"/>
    <b v="0"/>
    <n v="0"/>
    <n v="0"/>
    <m/>
    <d v="2018-03-26T00:00:00"/>
    <n v="32127162"/>
    <d v="2018-03-02T00:00:00"/>
    <m/>
    <m/>
    <s v=""/>
    <b v="0"/>
    <m/>
    <m/>
    <d v="2018-03-02T00:00:00"/>
    <m/>
    <n v="791522"/>
    <b v="1"/>
    <m/>
    <d v="2018-03-02T00:00:00"/>
    <m/>
    <x v="0"/>
    <b v="1"/>
    <n v="44026524"/>
    <s v="Elizabeth"/>
    <s v="Roy"/>
    <s v="Aetna Better Health of Illinois"/>
    <s v=""/>
    <s v=""/>
    <s v="roye1@aetna.com"/>
    <s v="(312) 821-0571"/>
    <s v=""/>
    <s v=""/>
    <s v=""/>
    <s v=""/>
    <s v=""/>
    <s v=""/>
    <s v=""/>
    <s v=""/>
    <s v=""/>
    <s v=""/>
    <s v=""/>
    <s v=""/>
    <s v=""/>
    <s v=""/>
    <s v=""/>
    <s v="364404Redetermination Point Person, 420950Physicians - Contracts, 420951Physicians - Claims &amp; Billing, 420952Physicians - Care Coordination"/>
    <s v="10633525Contracts, 10633526Claims/Billing, 10633527Care Coordination"/>
    <x v="0"/>
  </r>
  <r>
    <n v="37822760"/>
    <b v="0"/>
    <b v="0"/>
    <b v="0"/>
    <b v="1"/>
    <b v="0"/>
    <b v="1"/>
    <b v="1"/>
    <b v="0"/>
    <b v="0"/>
    <n v="0"/>
    <n v="0"/>
    <m/>
    <d v="2017-02-24T00:00:00"/>
    <n v="32127162"/>
    <d v="2017-02-24T00:00:00"/>
    <m/>
    <m/>
    <s v=""/>
    <b v="0"/>
    <m/>
    <m/>
    <d v="2017-02-24T00:00:00"/>
    <m/>
    <n v="791522"/>
    <b v="1"/>
    <m/>
    <m/>
    <m/>
    <x v="0"/>
    <b v="1"/>
    <n v="37822760"/>
    <s v="Desma"/>
    <s v="Rozovics"/>
    <s v="Illinois Academy of Family Physicians"/>
    <s v=""/>
    <s v=""/>
    <s v="vkeenan@iafp.com"/>
    <s v="630/435-0257"/>
    <s v=""/>
    <s v=""/>
    <s v=""/>
    <s v=""/>
    <s v=""/>
    <s v=""/>
    <s v=""/>
    <s v=""/>
    <s v=""/>
    <s v=""/>
    <s v=""/>
    <s v=""/>
    <s v=""/>
    <s v=""/>
    <s v=""/>
    <s v="371616Newsletter Recipient"/>
    <m/>
    <x v="0"/>
  </r>
  <r>
    <n v="43413459"/>
    <b v="0"/>
    <b v="0"/>
    <b v="0"/>
    <b v="1"/>
    <b v="0"/>
    <b v="1"/>
    <b v="1"/>
    <b v="0"/>
    <b v="0"/>
    <n v="0"/>
    <n v="0"/>
    <m/>
    <d v="2018-01-22T00:00:00"/>
    <n v="32127162"/>
    <d v="2018-01-22T00:00:00"/>
    <m/>
    <m/>
    <s v=""/>
    <b v="0"/>
    <m/>
    <m/>
    <d v="2018-01-22T00:00:00"/>
    <m/>
    <n v="791522"/>
    <b v="1"/>
    <m/>
    <d v="2018-01-22T00:00:00"/>
    <m/>
    <x v="0"/>
    <b v="1"/>
    <n v="43413459"/>
    <s v="Andrew"/>
    <s v="Rulis"/>
    <s v="Centene Corporation"/>
    <s v=""/>
    <s v=""/>
    <s v="Andrew.S.Rulis@centene.com"/>
    <s v=""/>
    <s v=""/>
    <s v=""/>
    <s v=""/>
    <s v=""/>
    <s v=""/>
    <s v=""/>
    <s v=""/>
    <s v="Actuarial Support"/>
    <s v=""/>
    <s v=""/>
    <s v=""/>
    <s v=""/>
    <s v=""/>
    <s v=""/>
    <s v=""/>
    <s v="372294Finance Committee"/>
    <m/>
    <x v="0"/>
  </r>
  <r>
    <n v="46436515"/>
    <b v="0"/>
    <b v="0"/>
    <b v="0"/>
    <b v="1"/>
    <b v="0"/>
    <b v="1"/>
    <b v="1"/>
    <b v="0"/>
    <b v="0"/>
    <n v="0"/>
    <n v="0"/>
    <m/>
    <d v="2018-06-21T00:00:00"/>
    <n v="32127162"/>
    <d v="2018-06-21T00:00:00"/>
    <m/>
    <m/>
    <s v=""/>
    <b v="0"/>
    <m/>
    <m/>
    <d v="2018-06-21T00:00:00"/>
    <m/>
    <n v="791522"/>
    <b v="1"/>
    <m/>
    <d v="2018-06-21T00:00:00"/>
    <m/>
    <x v="0"/>
    <b v="1"/>
    <n v="46436515"/>
    <s v="Cindy"/>
    <s v="Ruskusky"/>
    <s v="St. Margaret's Hospital"/>
    <s v=""/>
    <s v=""/>
    <s v="cruskusky@aboutsmh.org"/>
    <s v=""/>
    <s v=""/>
    <s v=""/>
    <s v=""/>
    <s v=""/>
    <s v=""/>
    <s v=""/>
    <s v="St. Margaret's Hospital"/>
    <s v=""/>
    <s v=""/>
    <s v=""/>
    <s v=""/>
    <s v=""/>
    <s v=""/>
    <s v=""/>
    <s v=""/>
    <s v="371616Newsletter Recipient"/>
    <m/>
    <x v="0"/>
  </r>
  <r>
    <n v="37822479"/>
    <b v="0"/>
    <b v="0"/>
    <b v="0"/>
    <b v="1"/>
    <b v="0"/>
    <b v="1"/>
    <b v="1"/>
    <b v="0"/>
    <b v="0"/>
    <n v="0"/>
    <n v="0"/>
    <m/>
    <d v="2017-02-24T00:00:00"/>
    <n v="32127162"/>
    <d v="2017-02-24T00:00:00"/>
    <m/>
    <m/>
    <s v=""/>
    <b v="0"/>
    <m/>
    <m/>
    <d v="2017-02-24T00:00:00"/>
    <m/>
    <n v="791522"/>
    <b v="1"/>
    <m/>
    <m/>
    <m/>
    <x v="0"/>
    <b v="1"/>
    <n v="37822479"/>
    <s v="Assistant for Senator Melinda Bush"/>
    <s v="S Wilson"/>
    <s v="Illinois General Assembly"/>
    <s v=""/>
    <s v=""/>
    <s v="swilson@senatedem.ilga.gov"/>
    <s v=""/>
    <s v=""/>
    <s v=""/>
    <s v=""/>
    <s v=""/>
    <s v=""/>
    <s v=""/>
    <s v=""/>
    <s v=""/>
    <s v=""/>
    <s v=""/>
    <s v=""/>
    <s v=""/>
    <s v=""/>
    <s v=""/>
    <s v=""/>
    <s v="371616Newsletter Recipient, 372319IGA Senate Staff"/>
    <m/>
    <x v="0"/>
  </r>
  <r>
    <n v="37819907"/>
    <b v="0"/>
    <b v="0"/>
    <b v="0"/>
    <b v="1"/>
    <b v="0"/>
    <b v="1"/>
    <b v="1"/>
    <b v="0"/>
    <b v="0"/>
    <n v="0"/>
    <n v="0"/>
    <m/>
    <d v="2017-02-24T00:00:00"/>
    <n v="32127162"/>
    <d v="2017-02-24T00:00:00"/>
    <m/>
    <m/>
    <s v=""/>
    <b v="0"/>
    <m/>
    <m/>
    <d v="2017-02-24T00:00:00"/>
    <m/>
    <n v="791522"/>
    <b v="1"/>
    <m/>
    <m/>
    <m/>
    <x v="0"/>
    <b v="1"/>
    <n v="37819907"/>
    <s v="Gustavo"/>
    <s v="Saberbein"/>
    <s v="Help at Home LLC/Oxford HealthCare"/>
    <s v=""/>
    <s v=""/>
    <s v="gsaberbein@helpathome.com"/>
    <s v=""/>
    <s v=""/>
    <s v=""/>
    <s v=""/>
    <s v=""/>
    <s v=""/>
    <s v=""/>
    <s v=""/>
    <s v="Vice President of External Operations"/>
    <s v=""/>
    <s v=""/>
    <s v=""/>
    <s v=""/>
    <s v=""/>
    <s v=""/>
    <s v=""/>
    <s v="371616Newsletter Recipient"/>
    <m/>
    <x v="0"/>
  </r>
  <r>
    <n v="39463162"/>
    <b v="0"/>
    <b v="0"/>
    <b v="0"/>
    <b v="1"/>
    <b v="0"/>
    <b v="1"/>
    <b v="1"/>
    <b v="0"/>
    <b v="0"/>
    <n v="0"/>
    <n v="0"/>
    <m/>
    <d v="2017-06-26T00:00:00"/>
    <n v="32127162"/>
    <d v="2017-06-26T00:00:00"/>
    <m/>
    <m/>
    <s v=""/>
    <b v="0"/>
    <m/>
    <m/>
    <d v="2017-06-26T00:00:00"/>
    <m/>
    <n v="791522"/>
    <b v="1"/>
    <m/>
    <m/>
    <m/>
    <x v="0"/>
    <b v="1"/>
    <n v="39463162"/>
    <s v="Amy"/>
    <s v="Sagen"/>
    <s v="UI Health"/>
    <s v=""/>
    <s v=""/>
    <s v="amys@uic.edu"/>
    <s v=""/>
    <s v=""/>
    <s v=""/>
    <s v=""/>
    <s v=""/>
    <s v=""/>
    <s v=""/>
    <s v=""/>
    <s v=""/>
    <s v=""/>
    <s v=""/>
    <s v=""/>
    <s v=""/>
    <s v=""/>
    <s v=""/>
    <s v=""/>
    <s v="371616Newsletter Recipient"/>
    <m/>
    <x v="0"/>
  </r>
  <r>
    <n v="43124556"/>
    <b v="0"/>
    <b v="0"/>
    <b v="1"/>
    <b v="1"/>
    <b v="0"/>
    <b v="1"/>
    <b v="1"/>
    <b v="0"/>
    <b v="0"/>
    <n v="0"/>
    <n v="0"/>
    <m/>
    <d v="2018-01-12T00:00:00"/>
    <n v="32127162"/>
    <d v="2018-01-05T00:00:00"/>
    <m/>
    <m/>
    <s v=""/>
    <b v="0"/>
    <m/>
    <m/>
    <d v="2018-01-04T00:00:00"/>
    <m/>
    <n v="791522"/>
    <b v="1"/>
    <m/>
    <d v="2018-01-05T00:00:00"/>
    <m/>
    <x v="0"/>
    <b v="1"/>
    <n v="43124556"/>
    <s v="Jaime"/>
    <s v="Salazar"/>
    <s v="Blue Cross Blue Shield of Illinois"/>
    <s v=""/>
    <s v=""/>
    <s v="jaime_salazar@bcbsil.com"/>
    <s v=""/>
    <s v=""/>
    <s v=""/>
    <s v=""/>
    <s v=""/>
    <s v=""/>
    <s v=""/>
    <s v=""/>
    <s v=""/>
    <s v=""/>
    <s v=""/>
    <s v=""/>
    <s v=""/>
    <s v=""/>
    <s v=""/>
    <s v=""/>
    <s v="371616Newsletter Recipient"/>
    <m/>
    <x v="0"/>
  </r>
  <r>
    <n v="46436559"/>
    <b v="0"/>
    <b v="0"/>
    <b v="0"/>
    <b v="1"/>
    <b v="0"/>
    <b v="1"/>
    <b v="1"/>
    <b v="0"/>
    <b v="0"/>
    <n v="0"/>
    <n v="0"/>
    <m/>
    <d v="2018-06-21T00:00:00"/>
    <n v="32127162"/>
    <d v="2018-06-21T00:00:00"/>
    <m/>
    <m/>
    <s v=""/>
    <b v="0"/>
    <m/>
    <m/>
    <d v="2018-06-21T00:00:00"/>
    <m/>
    <n v="791522"/>
    <b v="1"/>
    <m/>
    <d v="2018-06-21T00:00:00"/>
    <m/>
    <x v="0"/>
    <b v="1"/>
    <n v="46436559"/>
    <s v="Benjamin"/>
    <s v="Salentine"/>
    <s v="UIC Specialized Care for Children"/>
    <s v=""/>
    <s v=""/>
    <s v="salenti1@uic.edu"/>
    <s v=""/>
    <s v=""/>
    <s v=""/>
    <s v=""/>
    <s v=""/>
    <s v=""/>
    <s v=""/>
    <s v="UIC Specialized Care for Children"/>
    <s v=""/>
    <s v=""/>
    <s v=""/>
    <s v=""/>
    <s v=""/>
    <s v=""/>
    <s v=""/>
    <s v=""/>
    <s v="371616Newsletter Recipient"/>
    <m/>
    <x v="0"/>
  </r>
  <r>
    <n v="40595574"/>
    <b v="0"/>
    <b v="0"/>
    <b v="0"/>
    <b v="1"/>
    <b v="0"/>
    <b v="1"/>
    <b v="1"/>
    <b v="0"/>
    <b v="0"/>
    <n v="0"/>
    <n v="0"/>
    <m/>
    <d v="2018-05-08T00:00:00"/>
    <n v="32127162"/>
    <d v="2017-07-13T00:00:00"/>
    <m/>
    <m/>
    <s v=""/>
    <b v="0"/>
    <m/>
    <m/>
    <d v="2017-07-13T00:00:00"/>
    <m/>
    <n v="791522"/>
    <b v="1"/>
    <m/>
    <m/>
    <m/>
    <x v="0"/>
    <b v="1"/>
    <n v="40595574"/>
    <s v="Pam"/>
    <s v="Sanborn"/>
    <s v="Molina Healthcare of Illinois, Inc."/>
    <s v=""/>
    <s v=""/>
    <s v="Pamela.Sanborn@molinahealthcare.com"/>
    <s v=""/>
    <s v=""/>
    <s v=""/>
    <s v=""/>
    <s v=""/>
    <s v=""/>
    <s v=""/>
    <s v=""/>
    <s v=""/>
    <s v=""/>
    <s v=""/>
    <s v=""/>
    <s v=""/>
    <s v=""/>
    <s v=""/>
    <s v=""/>
    <s v="335741Chief Executive Officer, 371616Newsletter Recipient, 372293Quality Committee, 372294Finance Committee, 372295Board of Directors/General Distribution List, 420889Executive Committee, 420911IAMHP Leadership, 428250Hospital Assessment, 443814Billing Working Group"/>
    <m/>
    <x v="0"/>
  </r>
  <r>
    <n v="43487787"/>
    <b v="0"/>
    <b v="0"/>
    <b v="0"/>
    <b v="1"/>
    <b v="0"/>
    <b v="1"/>
    <b v="1"/>
    <b v="0"/>
    <b v="0"/>
    <n v="0"/>
    <n v="0"/>
    <m/>
    <d v="2018-03-26T00:00:00"/>
    <n v="32127162"/>
    <d v="2018-01-29T00:00:00"/>
    <m/>
    <m/>
    <s v=""/>
    <b v="0"/>
    <m/>
    <m/>
    <d v="2018-01-28T00:00:00"/>
    <m/>
    <n v="791522"/>
    <b v="1"/>
    <m/>
    <d v="2018-01-29T00:00:00"/>
    <m/>
    <x v="0"/>
    <b v="1"/>
    <n v="43487787"/>
    <s v="Courtney"/>
    <s v="Sanchez"/>
    <s v="Blue Cross Blue Shield of Illinois"/>
    <s v=""/>
    <s v=""/>
    <s v="Courtney_Sanchez@bcbsil.com"/>
    <s v=""/>
    <s v=""/>
    <s v=""/>
    <s v=""/>
    <s v=""/>
    <s v=""/>
    <s v=""/>
    <s v=""/>
    <s v=""/>
    <s v=""/>
    <s v=""/>
    <s v=""/>
    <s v=""/>
    <s v=""/>
    <s v=""/>
    <s v=""/>
    <s v="364404Redetermination Point Person, 371616Newsletter Recipient"/>
    <m/>
    <x v="0"/>
  </r>
  <r>
    <n v="42845735"/>
    <b v="0"/>
    <b v="0"/>
    <b v="0"/>
    <b v="1"/>
    <b v="0"/>
    <b v="1"/>
    <b v="1"/>
    <b v="0"/>
    <b v="0"/>
    <n v="0"/>
    <n v="0"/>
    <m/>
    <d v="2018-01-22T00:00:00"/>
    <n v="32127162"/>
    <d v="2017-12-06T00:00:00"/>
    <m/>
    <m/>
    <s v=""/>
    <b v="0"/>
    <m/>
    <m/>
    <d v="2017-12-06T00:00:00"/>
    <m/>
    <n v="791522"/>
    <b v="1"/>
    <m/>
    <d v="2017-12-06T00:00:00"/>
    <m/>
    <x v="0"/>
    <b v="1"/>
    <n v="42845735"/>
    <s v="Lanaya"/>
    <s v="Sandberg"/>
    <s v="Molina Healthcare of Illinois, Inc."/>
    <s v=""/>
    <s v=""/>
    <s v="lanaya.sandberg@molinahealthcare.com"/>
    <s v=""/>
    <s v=""/>
    <s v=""/>
    <s v=""/>
    <s v=""/>
    <s v=""/>
    <s v=""/>
    <s v=""/>
    <s v=""/>
    <s v=""/>
    <s v=""/>
    <s v=""/>
    <s v=""/>
    <s v=""/>
    <s v=""/>
    <s v=""/>
    <s v="371616Newsletter Recipient"/>
    <m/>
    <x v="0"/>
  </r>
  <r>
    <n v="43727341"/>
    <b v="0"/>
    <b v="0"/>
    <b v="0"/>
    <b v="1"/>
    <b v="0"/>
    <b v="1"/>
    <b v="1"/>
    <b v="0"/>
    <b v="0"/>
    <n v="0"/>
    <n v="0"/>
    <m/>
    <d v="2018-02-12T00:00:00"/>
    <n v="32127162"/>
    <d v="2018-02-12T00:00:00"/>
    <m/>
    <m/>
    <s v=""/>
    <b v="0"/>
    <m/>
    <m/>
    <d v="2018-02-12T00:00:00"/>
    <m/>
    <n v="791522"/>
    <b v="1"/>
    <m/>
    <d v="2018-02-12T00:00:00"/>
    <m/>
    <x v="0"/>
    <b v="1"/>
    <n v="43727341"/>
    <s v="Rick"/>
    <s v="Sandberg"/>
    <s v="DHS"/>
    <s v=""/>
    <s v=""/>
    <s v="rsandberg522@gmail.com"/>
    <s v=""/>
    <s v=""/>
    <s v=""/>
    <s v=""/>
    <s v=""/>
    <s v=""/>
    <s v=""/>
    <s v=""/>
    <s v="Personal Caregiver"/>
    <s v=""/>
    <s v=""/>
    <s v=""/>
    <s v=""/>
    <s v=""/>
    <s v=""/>
    <s v=""/>
    <s v="371616Newsletter Recipient"/>
    <m/>
    <x v="0"/>
  </r>
  <r>
    <n v="34087260"/>
    <b v="0"/>
    <b v="0"/>
    <b v="0"/>
    <b v="1"/>
    <b v="0"/>
    <b v="1"/>
    <b v="1"/>
    <b v="0"/>
    <b v="0"/>
    <n v="0"/>
    <n v="0"/>
    <m/>
    <d v="2017-12-06T00:00:00"/>
    <n v="32127162"/>
    <d v="2016-08-29T00:00:00"/>
    <m/>
    <m/>
    <s v=""/>
    <b v="0"/>
    <m/>
    <m/>
    <d v="2016-08-29T00:00:00"/>
    <m/>
    <n v="791522"/>
    <b v="1"/>
    <m/>
    <m/>
    <m/>
    <x v="0"/>
    <b v="1"/>
    <n v="34087260"/>
    <s v="Dr. Cynthia"/>
    <s v="Sanders"/>
    <s v="Meridian Health Plan"/>
    <s v=""/>
    <s v=""/>
    <s v="Cynthia.Sanders@mhplan.com"/>
    <s v=""/>
    <s v=""/>
    <s v=""/>
    <s v=""/>
    <s v=""/>
    <s v=""/>
    <s v=""/>
    <s v=""/>
    <s v=""/>
    <s v=""/>
    <s v=""/>
    <s v=""/>
    <s v=""/>
    <s v=""/>
    <s v=""/>
    <s v=""/>
    <s v="335744Chief Medical Officer, 371616Newsletter Recipient, 372292Medical Directors"/>
    <m/>
    <x v="0"/>
  </r>
  <r>
    <n v="37770854"/>
    <b v="0"/>
    <b v="0"/>
    <b v="0"/>
    <b v="1"/>
    <b v="0"/>
    <b v="1"/>
    <b v="1"/>
    <b v="0"/>
    <b v="0"/>
    <n v="0"/>
    <n v="0"/>
    <m/>
    <d v="2017-02-24T00:00:00"/>
    <n v="32127162"/>
    <d v="2017-02-20T00:00:00"/>
    <m/>
    <m/>
    <s v=""/>
    <b v="0"/>
    <m/>
    <m/>
    <d v="2017-02-20T00:00:00"/>
    <m/>
    <n v="791522"/>
    <b v="1"/>
    <m/>
    <m/>
    <m/>
    <x v="0"/>
    <b v="1"/>
    <n v="37770854"/>
    <s v="Martin"/>
    <s v="Sandoval"/>
    <s v="Illinois General Assembly"/>
    <s v=""/>
    <s v="Senator Martin A. Sandoval (D)_x000a_11th District_x0009_ _x0009__x000a__x000a_Springfield Office:_x000a_Senator 11th District_x000a_111 Capitol Building_x000a_Springfield, IL   62706_x000a_(217) 782-5304_x000a_(217) 558-6006 FAX_x000a_ _x000a_District Office:_x000a_5807 W. 35th Street_x000a_Cicero, IL  60804_x000a_(708) 656-2002_x000a_(708) 656-7608 FAX"/>
    <s v=""/>
    <s v=""/>
    <s v=""/>
    <s v=""/>
    <s v=""/>
    <s v=""/>
    <s v="(217) 782-5304"/>
    <s v=""/>
    <s v=""/>
    <s v=""/>
    <s v=""/>
    <s v=""/>
    <s v=""/>
    <s v=""/>
    <s v=""/>
    <s v=""/>
    <s v=""/>
    <s v="371609Senator, 371616Newsletter Recipient"/>
    <m/>
    <x v="0"/>
  </r>
  <r>
    <n v="44047329"/>
    <b v="0"/>
    <b v="0"/>
    <b v="0"/>
    <b v="1"/>
    <b v="0"/>
    <b v="1"/>
    <b v="1"/>
    <b v="0"/>
    <b v="0"/>
    <n v="0"/>
    <n v="0"/>
    <m/>
    <d v="2018-03-02T00:00:00"/>
    <n v="32127162"/>
    <d v="2018-03-02T00:00:00"/>
    <m/>
    <m/>
    <s v=""/>
    <b v="0"/>
    <m/>
    <m/>
    <d v="2018-03-02T00:00:00"/>
    <m/>
    <n v="791522"/>
    <b v="1"/>
    <m/>
    <d v="2018-03-02T00:00:00"/>
    <m/>
    <x v="0"/>
    <b v="1"/>
    <n v="44047329"/>
    <s v="Melanie"/>
    <s v="Santarelli"/>
    <s v="Ounce of Prevention Fund"/>
    <s v=""/>
    <s v=""/>
    <s v="msantarelli@theounce.org"/>
    <s v=""/>
    <s v=""/>
    <s v=""/>
    <s v=""/>
    <s v=""/>
    <s v=""/>
    <s v=""/>
    <s v=""/>
    <s v=""/>
    <s v=""/>
    <s v=""/>
    <s v=""/>
    <s v=""/>
    <s v=""/>
    <s v=""/>
    <s v=""/>
    <s v="371616Newsletter Recipient"/>
    <m/>
    <x v="0"/>
  </r>
  <r>
    <n v="39537259"/>
    <b v="0"/>
    <b v="0"/>
    <b v="0"/>
    <b v="1"/>
    <b v="0"/>
    <b v="1"/>
    <b v="1"/>
    <b v="0"/>
    <b v="0"/>
    <n v="0"/>
    <n v="0"/>
    <m/>
    <d v="2018-06-22T00:00:00"/>
    <n v="32127162"/>
    <d v="2017-06-28T00:00:00"/>
    <m/>
    <m/>
    <s v=""/>
    <b v="0"/>
    <m/>
    <m/>
    <d v="2017-06-28T00:00:00"/>
    <m/>
    <n v="791522"/>
    <b v="1"/>
    <m/>
    <m/>
    <m/>
    <x v="0"/>
    <b v="1"/>
    <n v="39537259"/>
    <s v="Susan"/>
    <s v="Sasser"/>
    <s v="Envolve (IlliniCare Health and NextLevel Health)"/>
    <s v=""/>
    <s v=""/>
    <s v="Susan.Sasser@envolvehealth.com"/>
    <s v="252.544.9354"/>
    <s v=""/>
    <s v=""/>
    <s v=""/>
    <s v=""/>
    <s v="888.589.2690"/>
    <s v=""/>
    <s v=""/>
    <s v=""/>
    <s v=""/>
    <s v=""/>
    <s v=""/>
    <s v=""/>
    <s v=""/>
    <s v=""/>
    <s v=""/>
    <s v="420963Vision - Contracts, 420964Vision - Claims &amp; Billing, 420965Vision - Care Coordination"/>
    <s v="10633525Contracts, 10633526Claims/Billing, 10633527Care Coordination"/>
    <x v="0"/>
  </r>
  <r>
    <n v="37779459"/>
    <b v="0"/>
    <b v="0"/>
    <b v="0"/>
    <b v="1"/>
    <b v="0"/>
    <b v="1"/>
    <b v="1"/>
    <b v="0"/>
    <b v="0"/>
    <n v="0"/>
    <n v="0"/>
    <m/>
    <d v="2017-02-24T00:00:00"/>
    <n v="32127162"/>
    <d v="2017-02-21T00:00:00"/>
    <m/>
    <m/>
    <s v=""/>
    <b v="0"/>
    <m/>
    <m/>
    <d v="2017-02-20T00:00:00"/>
    <m/>
    <n v="791522"/>
    <b v="1"/>
    <m/>
    <m/>
    <m/>
    <x v="0"/>
    <b v="1"/>
    <n v="37779459"/>
    <s v="Nick"/>
    <s v="Sauer"/>
    <s v="Illinois General Assembly"/>
    <s v=""/>
    <s v="Representative Nick Sauer (R)_x000a_51st District _x0009__x000a__x000a_Springfield Office:_x000a_242-W Stratton Office Building_x000a_Springfield, IL   62706_x000a_(217) 782-3696_x000a_(217) 782-1275 FAX_x000a__x000a_District Office:_x000a_1585 N Milwaukee Ave._x000a_Suite 7_x000a_Libertyville, IL  60048_x000a_(847) 984-2485_x000a_(847) 984-2580 FAX"/>
    <s v="sauer@ilhousegop.org"/>
    <s v=""/>
    <s v=""/>
    <s v=""/>
    <s v=""/>
    <s v=""/>
    <s v=""/>
    <s v=""/>
    <s v=""/>
    <s v=""/>
    <s v=""/>
    <s v=""/>
    <s v=""/>
    <s v=""/>
    <s v=""/>
    <s v=""/>
    <s v=""/>
    <s v="371616Newsletter Recipient, 371627House of Representatives"/>
    <m/>
    <x v="0"/>
  </r>
  <r>
    <n v="37819908"/>
    <b v="0"/>
    <b v="0"/>
    <b v="0"/>
    <b v="1"/>
    <b v="0"/>
    <b v="1"/>
    <b v="1"/>
    <b v="0"/>
    <b v="0"/>
    <n v="0"/>
    <n v="0"/>
    <m/>
    <d v="2017-02-24T00:00:00"/>
    <n v="32127162"/>
    <d v="2017-02-24T00:00:00"/>
    <m/>
    <m/>
    <s v=""/>
    <b v="0"/>
    <m/>
    <m/>
    <d v="2017-02-24T00:00:00"/>
    <m/>
    <n v="791522"/>
    <b v="1"/>
    <m/>
    <m/>
    <m/>
    <x v="0"/>
    <b v="1"/>
    <n v="37819908"/>
    <s v="Melissa"/>
    <s v="Schakowsky"/>
    <s v="s4grp"/>
    <s v=""/>
    <s v=""/>
    <s v="mschakowsky@s4grp.com"/>
    <s v=""/>
    <s v=""/>
    <s v=""/>
    <s v=""/>
    <s v=""/>
    <s v=""/>
    <s v=""/>
    <s v=""/>
    <s v=""/>
    <s v=""/>
    <s v=""/>
    <s v=""/>
    <s v=""/>
    <s v=""/>
    <s v=""/>
    <s v=""/>
    <s v="371616Newsletter Recipient, 372311Business Member"/>
    <m/>
    <x v="0"/>
  </r>
  <r>
    <n v="37779462"/>
    <b v="0"/>
    <b v="0"/>
    <b v="0"/>
    <b v="1"/>
    <b v="0"/>
    <b v="1"/>
    <b v="1"/>
    <b v="0"/>
    <b v="0"/>
    <n v="0"/>
    <n v="0"/>
    <m/>
    <d v="2017-02-24T00:00:00"/>
    <n v="32127162"/>
    <d v="2017-02-21T00:00:00"/>
    <m/>
    <m/>
    <s v=""/>
    <b v="0"/>
    <m/>
    <m/>
    <d v="2017-02-20T00:00:00"/>
    <m/>
    <n v="791522"/>
    <b v="1"/>
    <m/>
    <m/>
    <m/>
    <x v="0"/>
    <b v="1"/>
    <n v="37779462"/>
    <s v="Sue"/>
    <s v="Scherer"/>
    <s v="Illinois General Assembly"/>
    <s v=""/>
    <s v="Representative Sue Scherer (D)_x000a_96th District _x0009__x000a__x000a_Springfield Office:_x000a_E-2 Stratton Office Building_x000a_Springfield, IL   62706_x000a_(217) 524-0353_x000a_(217) 524-0354 FAX_x000a__x000a_District Office:_x000a_1301 E. Mound Rd._x000a_Suite 270_x000a_Decatur, IL  62526_x000a_(217) 877-9636_x000a_(217) 877-9659 FAX"/>
    <s v="staterepsue@gmail.com"/>
    <s v=""/>
    <s v=""/>
    <s v=""/>
    <s v=""/>
    <s v=""/>
    <s v=""/>
    <s v=""/>
    <s v=""/>
    <s v=""/>
    <s v=""/>
    <s v=""/>
    <s v=""/>
    <s v=""/>
    <s v=""/>
    <s v=""/>
    <s v=""/>
    <s v="371616Newsletter Recipient, 371627House of Representatives"/>
    <m/>
    <x v="0"/>
  </r>
  <r>
    <n v="37819911"/>
    <b v="0"/>
    <b v="0"/>
    <b v="0"/>
    <b v="1"/>
    <b v="0"/>
    <b v="1"/>
    <b v="1"/>
    <b v="0"/>
    <b v="0"/>
    <n v="0"/>
    <n v="0"/>
    <m/>
    <d v="2018-01-22T00:00:00"/>
    <n v="32127162"/>
    <d v="2017-02-24T00:00:00"/>
    <m/>
    <m/>
    <s v=""/>
    <b v="0"/>
    <m/>
    <m/>
    <d v="2017-02-24T00:00:00"/>
    <m/>
    <n v="791522"/>
    <b v="1"/>
    <m/>
    <m/>
    <m/>
    <x v="0"/>
    <b v="1"/>
    <n v="37819911"/>
    <s v="Cathy"/>
    <s v="Schilling"/>
    <s v="Molina Healthcare of Illinois, Inc."/>
    <s v=""/>
    <s v=""/>
    <s v="Catherine.Schilling@MolinaHealthCare.com"/>
    <s v=""/>
    <s v=""/>
    <s v=""/>
    <s v=""/>
    <s v=""/>
    <s v=""/>
    <s v=""/>
    <s v=""/>
    <s v=""/>
    <s v=""/>
    <s v=""/>
    <s v=""/>
    <s v=""/>
    <s v=""/>
    <s v=""/>
    <s v=""/>
    <s v="371616Newsletter Recipient"/>
    <m/>
    <x v="0"/>
  </r>
  <r>
    <n v="43649944"/>
    <b v="0"/>
    <b v="0"/>
    <b v="0"/>
    <b v="1"/>
    <b v="0"/>
    <b v="1"/>
    <b v="1"/>
    <b v="0"/>
    <b v="0"/>
    <n v="0"/>
    <n v="0"/>
    <m/>
    <d v="2018-05-29T00:00:00"/>
    <n v="32127162"/>
    <d v="2018-02-06T00:00:00"/>
    <m/>
    <m/>
    <s v=""/>
    <b v="0"/>
    <m/>
    <m/>
    <d v="2018-02-06T00:00:00"/>
    <m/>
    <n v="791522"/>
    <b v="1"/>
    <m/>
    <d v="2018-02-06T00:00:00"/>
    <m/>
    <x v="0"/>
    <b v="1"/>
    <n v="43649944"/>
    <s v="Jeff"/>
    <s v="Schilling"/>
    <s v="Molina Healthcare of Illinois, Inc."/>
    <s v=""/>
    <s v=""/>
    <s v="jeffrey.schilling@molinahealthcare.com"/>
    <s v=""/>
    <s v=""/>
    <s v=""/>
    <s v=""/>
    <s v=""/>
    <s v=""/>
    <s v=""/>
    <s v=""/>
    <s v=""/>
    <s v=""/>
    <s v=""/>
    <s v=""/>
    <s v=""/>
    <s v=""/>
    <s v=""/>
    <s v=""/>
    <s v="335736Provider Relations - Committee Members, 371616Newsletter Recipient, 372297Operations Committee, 447857HFS Ops Workgroup"/>
    <m/>
    <x v="0"/>
  </r>
  <r>
    <n v="37770858"/>
    <b v="0"/>
    <b v="0"/>
    <b v="0"/>
    <b v="1"/>
    <b v="0"/>
    <b v="1"/>
    <b v="1"/>
    <b v="0"/>
    <b v="0"/>
    <n v="0"/>
    <n v="0"/>
    <m/>
    <d v="2017-02-24T00:00:00"/>
    <n v="32127162"/>
    <d v="2017-02-20T00:00:00"/>
    <m/>
    <m/>
    <s v=""/>
    <b v="0"/>
    <m/>
    <m/>
    <d v="2017-02-20T00:00:00"/>
    <m/>
    <n v="791522"/>
    <b v="1"/>
    <m/>
    <m/>
    <m/>
    <x v="0"/>
    <b v="1"/>
    <n v="37770858"/>
    <s v="Paul"/>
    <s v="Schimpf"/>
    <s v="Illinois General Assembly"/>
    <s v=""/>
    <s v="Senator Paul Schimpf (R)_x000a_58th District_x0009__x000a__x000a_Springfield Office:_x000a_Senator 58th District_x000a_105D Capitol Building_x000a_Springfield, IL   62706_x000a_(217) 782-8137_x000a_ _x000a_District Office:_x000a_342 North St._x000a_Suite C_x000a_Murphysboro, IL  62966_x000a_(618) 684-1100"/>
    <s v=""/>
    <s v=""/>
    <s v=""/>
    <s v=""/>
    <s v=""/>
    <s v=""/>
    <s v="(217) 782-8137"/>
    <s v=""/>
    <s v=""/>
    <s v=""/>
    <s v=""/>
    <s v=""/>
    <s v=""/>
    <s v=""/>
    <s v=""/>
    <s v=""/>
    <s v=""/>
    <s v="371609Senator, 371616Newsletter Recipient"/>
    <m/>
    <x v="0"/>
  </r>
  <r>
    <n v="46436542"/>
    <b v="0"/>
    <b v="0"/>
    <b v="0"/>
    <b v="1"/>
    <b v="0"/>
    <b v="1"/>
    <b v="1"/>
    <b v="0"/>
    <b v="0"/>
    <n v="0"/>
    <n v="0"/>
    <m/>
    <d v="2018-06-21T00:00:00"/>
    <n v="32127162"/>
    <d v="2018-06-21T00:00:00"/>
    <m/>
    <m/>
    <s v=""/>
    <b v="0"/>
    <m/>
    <m/>
    <d v="2018-06-21T00:00:00"/>
    <m/>
    <n v="791522"/>
    <b v="1"/>
    <m/>
    <d v="2018-06-21T00:00:00"/>
    <m/>
    <x v="0"/>
    <b v="1"/>
    <n v="46436542"/>
    <s v="Lorna"/>
    <s v="Schindler"/>
    <s v="FHN Memorial Hospital"/>
    <s v=""/>
    <s v=""/>
    <s v="lschindler@fhn.org"/>
    <s v=""/>
    <s v=""/>
    <s v=""/>
    <s v=""/>
    <s v=""/>
    <s v=""/>
    <s v=""/>
    <s v="FHN Memorial Hospital"/>
    <s v=""/>
    <s v=""/>
    <s v=""/>
    <s v=""/>
    <s v=""/>
    <s v=""/>
    <s v=""/>
    <s v=""/>
    <s v="371616Newsletter Recipient"/>
    <m/>
    <x v="0"/>
  </r>
  <r>
    <n v="43111887"/>
    <b v="0"/>
    <b v="0"/>
    <b v="1"/>
    <b v="1"/>
    <b v="0"/>
    <b v="1"/>
    <b v="1"/>
    <b v="0"/>
    <b v="0"/>
    <n v="0"/>
    <n v="0"/>
    <m/>
    <d v="2018-03-02T00:00:00"/>
    <n v="32127162"/>
    <d v="2018-01-03T00:00:00"/>
    <d v="2018-01-03T00:00:00"/>
    <m/>
    <s v=""/>
    <b v="0"/>
    <m/>
    <m/>
    <d v="2018-03-02T00:00:00"/>
    <m/>
    <n v="791522"/>
    <b v="1"/>
    <m/>
    <d v="2018-03-02T00:00:00"/>
    <m/>
    <x v="0"/>
    <b v="1"/>
    <n v="43111887"/>
    <s v="Jen"/>
    <s v="Schissler"/>
    <s v="Grundy County Health Dept."/>
    <s v="Finance Associate"/>
    <s v=""/>
    <s v="jschissler@grundyhealth.com"/>
    <s v="815.941.3413"/>
    <s v=""/>
    <s v=""/>
    <s v=""/>
    <s v=""/>
    <s v=""/>
    <s v=""/>
    <s v=""/>
    <s v=""/>
    <s v=""/>
    <s v=""/>
    <s v=""/>
    <s v=""/>
    <s v=""/>
    <s v=""/>
    <s v=""/>
    <s v="371616Newsletter Recipient"/>
    <m/>
    <x v="0"/>
  </r>
  <r>
    <n v="34710248"/>
    <b v="0"/>
    <b v="0"/>
    <b v="0"/>
    <b v="1"/>
    <b v="0"/>
    <b v="1"/>
    <b v="1"/>
    <b v="0"/>
    <b v="0"/>
    <n v="0"/>
    <n v="0"/>
    <m/>
    <d v="2018-03-26T00:00:00"/>
    <n v="32127162"/>
    <d v="2016-09-22T00:00:00"/>
    <m/>
    <m/>
    <s v=""/>
    <b v="0"/>
    <m/>
    <m/>
    <d v="2016-09-21T00:00:00"/>
    <m/>
    <n v="791522"/>
    <b v="1"/>
    <m/>
    <m/>
    <m/>
    <x v="0"/>
    <b v="1"/>
    <n v="34710248"/>
    <s v="Kathryn"/>
    <s v="Schmit"/>
    <s v="Humana"/>
    <s v=""/>
    <s v=""/>
    <s v="KSchmit@ilshealth.com"/>
    <s v="305-262-1292 ext 5010"/>
    <s v=""/>
    <s v=""/>
    <s v=""/>
    <s v=""/>
    <s v=""/>
    <s v=""/>
    <s v=""/>
    <s v=""/>
    <s v=""/>
    <s v=""/>
    <s v=""/>
    <s v=""/>
    <s v=""/>
    <s v=""/>
    <s v=""/>
    <s v="371616Newsletter Recipient, 420987LTC - Contracts, 420988LTC - Claims &amp; Billing, 420989LTC - Care Coordination"/>
    <s v="10633525Contracts, 10633526Claims/Billing, 10633527Care Coordination"/>
    <x v="0"/>
  </r>
  <r>
    <n v="42674825"/>
    <b v="0"/>
    <b v="0"/>
    <b v="1"/>
    <b v="1"/>
    <b v="0"/>
    <b v="1"/>
    <b v="1"/>
    <b v="0"/>
    <b v="0"/>
    <n v="0"/>
    <n v="0"/>
    <m/>
    <d v="2018-01-05T00:00:00"/>
    <n v="32127162"/>
    <d v="2017-11-17T00:00:00"/>
    <d v="2017-11-20T00:00:00"/>
    <m/>
    <s v=""/>
    <b v="0"/>
    <m/>
    <m/>
    <d v="2018-01-04T00:00:00"/>
    <m/>
    <n v="791522"/>
    <b v="1"/>
    <m/>
    <d v="2018-01-05T00:00:00"/>
    <m/>
    <x v="0"/>
    <b v="1"/>
    <n v="42674825"/>
    <s v="Mark"/>
    <s v="Schmitz"/>
    <s v="Transitions of Western Illinois"/>
    <s v="Executive Director"/>
    <s v="Mental Health"/>
    <s v="mschmitz@twi.org"/>
    <s v="217-223-0413"/>
    <s v=""/>
    <s v=""/>
    <s v=""/>
    <s v=""/>
    <s v="217-223-0413"/>
    <s v="217-223-0461"/>
    <s v=""/>
    <s v=""/>
    <s v=""/>
    <s v=""/>
    <s v=""/>
    <s v=""/>
    <s v=""/>
    <s v=""/>
    <s v=""/>
    <s v="371616Newsletter Recipient"/>
    <m/>
    <x v="0"/>
  </r>
  <r>
    <n v="34514346"/>
    <b v="0"/>
    <b v="0"/>
    <b v="0"/>
    <b v="1"/>
    <b v="0"/>
    <b v="1"/>
    <b v="1"/>
    <b v="0"/>
    <b v="0"/>
    <n v="0"/>
    <n v="0"/>
    <m/>
    <d v="2018-01-29T00:00:00"/>
    <n v="32127162"/>
    <d v="2016-09-16T00:00:00"/>
    <m/>
    <m/>
    <s v=""/>
    <b v="0"/>
    <m/>
    <m/>
    <d v="2016-09-15T00:00:00"/>
    <m/>
    <n v="791522"/>
    <b v="1"/>
    <m/>
    <m/>
    <m/>
    <x v="0"/>
    <b v="1"/>
    <n v="34514346"/>
    <s v="Kammy"/>
    <s v="Schneider"/>
    <s v="Humana"/>
    <s v=""/>
    <s v=""/>
    <s v="KSchneider@humana.com"/>
    <s v="262-408-4697"/>
    <s v=""/>
    <s v=""/>
    <s v=""/>
    <s v=""/>
    <s v=""/>
    <s v=""/>
    <s v=""/>
    <s v=""/>
    <s v=""/>
    <s v=""/>
    <s v=""/>
    <s v=""/>
    <s v=""/>
    <s v=""/>
    <s v=""/>
    <s v="371616Newsletter Recipient"/>
    <m/>
    <x v="0"/>
  </r>
  <r>
    <n v="39399569"/>
    <b v="0"/>
    <b v="0"/>
    <b v="0"/>
    <b v="1"/>
    <b v="0"/>
    <b v="1"/>
    <b v="1"/>
    <b v="0"/>
    <b v="0"/>
    <n v="0"/>
    <n v="0"/>
    <m/>
    <d v="2018-02-19T00:00:00"/>
    <n v="32127162"/>
    <d v="2017-06-21T00:00:00"/>
    <m/>
    <m/>
    <s v=""/>
    <b v="0"/>
    <m/>
    <m/>
    <d v="2017-06-21T00:00:00"/>
    <m/>
    <n v="791522"/>
    <b v="1"/>
    <m/>
    <m/>
    <m/>
    <x v="0"/>
    <b v="1"/>
    <n v="39399569"/>
    <s v="Laura"/>
    <s v="Schneider"/>
    <s v="Lake County Health Department and Community Health Center"/>
    <s v=""/>
    <s v=""/>
    <s v="lschneider@lakecountyil.gov"/>
    <s v=""/>
    <s v=""/>
    <s v=""/>
    <s v=""/>
    <s v=""/>
    <s v=""/>
    <s v=""/>
    <s v=""/>
    <s v=""/>
    <s v=""/>
    <s v=""/>
    <s v=""/>
    <s v=""/>
    <s v=""/>
    <s v=""/>
    <s v=""/>
    <s v="371616Newsletter Recipient"/>
    <m/>
    <x v="0"/>
  </r>
  <r>
    <n v="46435970"/>
    <b v="0"/>
    <b v="0"/>
    <b v="0"/>
    <b v="1"/>
    <b v="0"/>
    <b v="1"/>
    <b v="1"/>
    <b v="0"/>
    <b v="0"/>
    <n v="0"/>
    <n v="0"/>
    <m/>
    <d v="2018-06-21T00:00:00"/>
    <n v="32127162"/>
    <d v="2018-06-21T00:00:00"/>
    <m/>
    <m/>
    <s v=""/>
    <b v="0"/>
    <m/>
    <m/>
    <d v="2018-06-21T00:00:00"/>
    <m/>
    <n v="791522"/>
    <b v="1"/>
    <m/>
    <d v="2018-06-21T00:00:00"/>
    <m/>
    <x v="0"/>
    <b v="1"/>
    <n v="46435970"/>
    <s v="Kelly"/>
    <s v="Schnetzer"/>
    <s v="Seasons Hospice &amp; Palliative Care"/>
    <s v=""/>
    <s v=""/>
    <s v="kschnetzer@seasons.org"/>
    <s v=""/>
    <s v=""/>
    <s v=""/>
    <s v=""/>
    <s v=""/>
    <s v=""/>
    <s v=""/>
    <s v="Seasons Hospice &amp; Palliative Care"/>
    <s v=""/>
    <s v=""/>
    <s v=""/>
    <s v=""/>
    <s v=""/>
    <s v=""/>
    <s v=""/>
    <s v=""/>
    <s v="371616Newsletter Recipient"/>
    <m/>
    <x v="0"/>
  </r>
  <r>
    <n v="37819912"/>
    <b v="0"/>
    <b v="0"/>
    <b v="0"/>
    <b v="1"/>
    <b v="0"/>
    <b v="1"/>
    <b v="0"/>
    <b v="0"/>
    <b v="0"/>
    <n v="0"/>
    <n v="0"/>
    <m/>
    <d v="2017-02-24T00:00:00"/>
    <n v="32127162"/>
    <d v="2017-02-24T00:00:00"/>
    <m/>
    <m/>
    <s v=""/>
    <b v="0"/>
    <m/>
    <m/>
    <d v="2017-02-24T00:00:00"/>
    <m/>
    <n v="791522"/>
    <b v="1"/>
    <m/>
    <m/>
    <m/>
    <x v="0"/>
    <b v="1"/>
    <n v="37819912"/>
    <s v="Victoria"/>
    <s v="Schreiber"/>
    <s v="Molina Healthcare of Illinois, Inc."/>
    <s v=""/>
    <s v=""/>
    <s v="Victoria.Schreiber@MolinaHealthCare.com"/>
    <s v=""/>
    <s v=""/>
    <s v=""/>
    <s v=""/>
    <s v=""/>
    <s v=""/>
    <s v=""/>
    <s v=""/>
    <s v=""/>
    <s v=""/>
    <s v=""/>
    <s v=""/>
    <s v=""/>
    <s v=""/>
    <s v=""/>
    <s v=""/>
    <s v="371616Newsletter Recipient"/>
    <m/>
    <x v="0"/>
  </r>
  <r>
    <n v="34088651"/>
    <b v="0"/>
    <b v="0"/>
    <b v="0"/>
    <b v="1"/>
    <b v="0"/>
    <b v="1"/>
    <b v="1"/>
    <b v="0"/>
    <b v="0"/>
    <n v="0"/>
    <n v="0"/>
    <m/>
    <d v="2018-01-12T00:00:00"/>
    <n v="32127162"/>
    <d v="2016-08-29T00:00:00"/>
    <m/>
    <m/>
    <s v=""/>
    <b v="0"/>
    <m/>
    <m/>
    <d v="2016-08-29T00:00:00"/>
    <m/>
    <n v="791522"/>
    <b v="1"/>
    <m/>
    <m/>
    <m/>
    <x v="0"/>
    <b v="1"/>
    <n v="34088651"/>
    <s v="Sarah"/>
    <s v="Schutz"/>
    <s v="Family Health Network/Community Care Alliance of Illinois"/>
    <s v=""/>
    <s v=""/>
    <s v="SSchutz@myfhn.com"/>
    <s v="312-561-2536"/>
    <s v=""/>
    <s v=""/>
    <s v=""/>
    <s v=""/>
    <s v=""/>
    <s v=""/>
    <s v=""/>
    <s v=""/>
    <s v=""/>
    <s v=""/>
    <s v=""/>
    <s v=""/>
    <s v=""/>
    <s v=""/>
    <s v=""/>
    <m/>
    <m/>
    <x v="0"/>
  </r>
  <r>
    <n v="42678226"/>
    <b v="0"/>
    <b v="0"/>
    <b v="0"/>
    <b v="1"/>
    <b v="0"/>
    <b v="1"/>
    <b v="1"/>
    <b v="0"/>
    <b v="0"/>
    <n v="0"/>
    <n v="0"/>
    <m/>
    <d v="2018-02-12T00:00:00"/>
    <n v="32127162"/>
    <d v="2017-11-17T00:00:00"/>
    <m/>
    <m/>
    <s v=""/>
    <b v="0"/>
    <m/>
    <m/>
    <d v="2017-11-17T00:00:00"/>
    <m/>
    <n v="791522"/>
    <b v="1"/>
    <m/>
    <d v="2017-11-17T00:00:00"/>
    <m/>
    <x v="0"/>
    <b v="1"/>
    <n v="42678226"/>
    <s v="Jacqueline"/>
    <s v="Scott"/>
    <s v="Harrisburg Medical Center"/>
    <s v=""/>
    <s v=""/>
    <s v="jscott@harrisburgmc.com"/>
    <s v=""/>
    <s v=""/>
    <s v=""/>
    <s v=""/>
    <s v=""/>
    <s v=""/>
    <s v=""/>
    <s v="Harrisburg Medical Center"/>
    <s v=""/>
    <s v=""/>
    <s v=""/>
    <s v=""/>
    <s v=""/>
    <s v=""/>
    <s v=""/>
    <s v=""/>
    <s v="371616Newsletter Recipient"/>
    <m/>
    <x v="0"/>
  </r>
  <r>
    <n v="34090693"/>
    <b v="0"/>
    <b v="0"/>
    <b v="0"/>
    <b v="1"/>
    <b v="0"/>
    <b v="1"/>
    <b v="1"/>
    <b v="0"/>
    <b v="0"/>
    <n v="0"/>
    <n v="0"/>
    <m/>
    <d v="2017-06-28T00:00:00"/>
    <n v="32127162"/>
    <d v="2016-08-29T00:00:00"/>
    <m/>
    <m/>
    <s v=""/>
    <b v="0"/>
    <m/>
    <m/>
    <d v="2016-08-29T00:00:00"/>
    <m/>
    <n v="791522"/>
    <b v="1"/>
    <m/>
    <m/>
    <m/>
    <x v="0"/>
    <b v="1"/>
    <n v="34090693"/>
    <s v="Alicia"/>
    <s v="Searcy"/>
    <s v="CountyCare Health Plan"/>
    <s v=""/>
    <s v=""/>
    <s v="alicia.searcy@cookcountyhhs.org"/>
    <s v="866-329-4701 ext 47829"/>
    <s v=""/>
    <s v=""/>
    <s v=""/>
    <s v=""/>
    <s v=""/>
    <s v=""/>
    <s v=""/>
    <s v=""/>
    <s v=""/>
    <s v=""/>
    <s v=""/>
    <s v=""/>
    <s v=""/>
    <s v=""/>
    <s v=""/>
    <s v="335700Behavioral Health - Vendor Contact, 371616Newsletter Recipient, 372297Operations Committee"/>
    <m/>
    <x v="0"/>
  </r>
  <r>
    <n v="34033664"/>
    <b v="0"/>
    <b v="0"/>
    <b v="0"/>
    <b v="1"/>
    <b v="0"/>
    <b v="1"/>
    <b v="1"/>
    <b v="0"/>
    <b v="0"/>
    <n v="0"/>
    <n v="0"/>
    <m/>
    <d v="2018-05-29T00:00:00"/>
    <n v="32127162"/>
    <d v="2016-08-23T00:00:00"/>
    <m/>
    <m/>
    <s v=""/>
    <b v="0"/>
    <m/>
    <m/>
    <d v="2016-08-23T00:00:00"/>
    <m/>
    <n v="791522"/>
    <b v="1"/>
    <m/>
    <m/>
    <m/>
    <x v="0"/>
    <b v="1"/>
    <n v="34033664"/>
    <s v="Kevin"/>
    <s v="Sebaski"/>
    <s v="Humana"/>
    <s v=""/>
    <s v=""/>
    <s v="ksebaski@humana.com"/>
    <s v="312-441-5369"/>
    <s v="M."/>
    <s v=""/>
    <s v=""/>
    <s v="(630) 452-1870"/>
    <s v="(312) 441-5369"/>
    <s v="(312) 601-0337"/>
    <s v=""/>
    <s v=""/>
    <s v=""/>
    <s v=""/>
    <s v=""/>
    <s v=""/>
    <s v=""/>
    <s v=""/>
    <s v=""/>
    <s v="335736Provider Relations - Committee Members, 335743Chief Operating Officer, 371616Newsletter Recipient, 372293Quality Committee, 372296Legislative Committee, 372297Operations Committee, 372306Marketing Committee, 372312IHA-IAMHP Working Group, 447857HFS Ops Workgroup"/>
    <m/>
    <x v="0"/>
  </r>
  <r>
    <n v="40801595"/>
    <b v="0"/>
    <b v="0"/>
    <b v="0"/>
    <b v="1"/>
    <b v="0"/>
    <b v="1"/>
    <b v="1"/>
    <b v="0"/>
    <b v="0"/>
    <n v="0"/>
    <n v="0"/>
    <m/>
    <d v="2017-07-27T00:00:00"/>
    <n v="32127162"/>
    <d v="2017-07-27T00:00:00"/>
    <m/>
    <m/>
    <s v=""/>
    <b v="0"/>
    <m/>
    <m/>
    <d v="2017-07-27T00:00:00"/>
    <m/>
    <n v="791522"/>
    <b v="1"/>
    <m/>
    <m/>
    <m/>
    <x v="0"/>
    <b v="1"/>
    <n v="40801595"/>
    <s v="Lynn"/>
    <s v="Seermon"/>
    <s v="Kaizen Health"/>
    <s v=""/>
    <s v=""/>
    <s v="lynn@kaizenhealth.org"/>
    <s v=""/>
    <s v=""/>
    <s v=""/>
    <s v=""/>
    <s v=""/>
    <s v=""/>
    <s v=""/>
    <s v=""/>
    <s v=""/>
    <s v=""/>
    <s v=""/>
    <s v=""/>
    <s v=""/>
    <s v=""/>
    <s v=""/>
    <s v=""/>
    <s v="371616Newsletter Recipient"/>
    <m/>
    <x v="0"/>
  </r>
  <r>
    <n v="37819914"/>
    <b v="0"/>
    <b v="0"/>
    <b v="0"/>
    <b v="1"/>
    <b v="0"/>
    <b v="1"/>
    <b v="1"/>
    <b v="0"/>
    <b v="0"/>
    <n v="0"/>
    <n v="0"/>
    <m/>
    <d v="2017-02-24T00:00:00"/>
    <n v="32127162"/>
    <d v="2017-02-24T00:00:00"/>
    <m/>
    <m/>
    <s v=""/>
    <b v="0"/>
    <m/>
    <m/>
    <d v="2017-02-24T00:00:00"/>
    <m/>
    <n v="791522"/>
    <b v="1"/>
    <m/>
    <m/>
    <m/>
    <x v="0"/>
    <b v="1"/>
    <n v="37819914"/>
    <s v="Jenny"/>
    <s v="Seewer"/>
    <s v="Humana"/>
    <s v=""/>
    <s v=""/>
    <s v="jseewer1@humana.com"/>
    <s v="502 476-0311"/>
    <s v=""/>
    <s v=""/>
    <s v=""/>
    <s v=""/>
    <s v=""/>
    <s v=""/>
    <s v=""/>
    <s v="Encounters Expert"/>
    <s v=""/>
    <s v=""/>
    <s v=""/>
    <s v=""/>
    <s v=""/>
    <s v=""/>
    <s v=""/>
    <s v="371616Newsletter Recipient"/>
    <m/>
    <x v="0"/>
  </r>
  <r>
    <n v="42631911"/>
    <b v="0"/>
    <b v="0"/>
    <b v="0"/>
    <b v="1"/>
    <b v="0"/>
    <b v="1"/>
    <b v="1"/>
    <b v="0"/>
    <b v="0"/>
    <n v="0"/>
    <n v="0"/>
    <m/>
    <d v="2018-03-26T00:00:00"/>
    <n v="32127162"/>
    <d v="2017-11-14T00:00:00"/>
    <m/>
    <m/>
    <s v=""/>
    <b v="0"/>
    <m/>
    <m/>
    <d v="2017-11-14T00:00:00"/>
    <m/>
    <n v="791522"/>
    <b v="1"/>
    <m/>
    <d v="2017-11-14T00:00:00"/>
    <m/>
    <x v="0"/>
    <b v="1"/>
    <n v="42631911"/>
    <s v="Alisha"/>
    <s v="Sellers"/>
    <s v="Aetna Better Health Illinois Medicaid"/>
    <s v=""/>
    <s v=""/>
    <s v=""/>
    <s v=""/>
    <s v="D."/>
    <s v=""/>
    <s v=""/>
    <s v="(602) 616-1277"/>
    <s v=""/>
    <s v="(602) 414-7619"/>
    <s v="Aetna Better Health Illinois Medicaid"/>
    <s v="Pharmacy Director"/>
    <s v=""/>
    <s v=""/>
    <s v=""/>
    <s v=""/>
    <s v=""/>
    <s v=""/>
    <s v=""/>
    <s v="371616Newsletter Recipient, 420970Pharmacy/Pharmaceuticals - Contracts, 420971Pharmacy/Pharmaceuticals - Claims &amp; Billing, 420972Pharmacy/Pharmaceuticals - Care Coordination"/>
    <s v="10633525Contracts, 10633526Claims/Billing, 10633527Care Coordination"/>
    <x v="0"/>
  </r>
  <r>
    <n v="37779469"/>
    <b v="0"/>
    <b v="0"/>
    <b v="0"/>
    <b v="1"/>
    <b v="0"/>
    <b v="1"/>
    <b v="1"/>
    <b v="0"/>
    <b v="0"/>
    <n v="0"/>
    <n v="0"/>
    <m/>
    <d v="2017-02-24T00:00:00"/>
    <n v="32127162"/>
    <d v="2017-02-21T00:00:00"/>
    <m/>
    <m/>
    <s v=""/>
    <b v="0"/>
    <m/>
    <m/>
    <d v="2017-02-20T00:00:00"/>
    <m/>
    <n v="791522"/>
    <b v="1"/>
    <m/>
    <m/>
    <m/>
    <x v="0"/>
    <b v="1"/>
    <n v="37779469"/>
    <s v="Carol"/>
    <s v="Sente"/>
    <s v="Illinois General Assembly"/>
    <s v=""/>
    <s v="Representative Carol Sente (D)_x000a_59th District _x0009__x000a__x000a_Springfield Office:_x000a_272-S Stratton Office Building_x000a_Springfield, IL   62706_x000a_(217) 782-0499_x000a_(217) 524-0443 FAX_x000a__x000a_District Office:_x000a_The Laschen Center_x000a_294 Evergreen Dr._x000a_Vernon Hills, IL  60061_x000a_(847) 478-9909_x000a_(847) 984-2206 FAX"/>
    <s v="repsente@gmail.com"/>
    <s v=""/>
    <s v=""/>
    <s v=""/>
    <s v=""/>
    <s v=""/>
    <s v=""/>
    <s v=""/>
    <s v=""/>
    <s v=""/>
    <s v=""/>
    <s v=""/>
    <s v=""/>
    <s v=""/>
    <s v=""/>
    <s v=""/>
    <s v=""/>
    <s v="371616Newsletter Recipient, 371627House of Representatives"/>
    <m/>
    <x v="0"/>
  </r>
  <r>
    <n v="37779471"/>
    <b v="0"/>
    <b v="0"/>
    <b v="0"/>
    <b v="1"/>
    <b v="0"/>
    <b v="1"/>
    <b v="1"/>
    <b v="0"/>
    <b v="0"/>
    <n v="0"/>
    <n v="0"/>
    <m/>
    <d v="2017-02-21T00:00:00"/>
    <n v="32127162"/>
    <d v="2017-02-21T00:00:00"/>
    <m/>
    <m/>
    <s v=""/>
    <b v="0"/>
    <m/>
    <m/>
    <d v="2017-02-20T00:00:00"/>
    <m/>
    <n v="791522"/>
    <b v="1"/>
    <m/>
    <m/>
    <m/>
    <x v="0"/>
    <b v="1"/>
    <n v="37779471"/>
    <s v="Dave"/>
    <s v="Severin"/>
    <s v="Illinois General Assembly"/>
    <s v=""/>
    <s v="Representative Dave Severin (R)_x000a_117th District_x000a__x000a_Springfield Office:_x000a_208-N Stratton Office Building_x000a_Springfield, IL   62706_x000a_(217) 782-1051_x000a__x000a_District Office:_x000a_1301 Enterprise Way_x000a_Suite 40A_x000a_Marion, IL  62959_x000a_(618) 440-5090_x000a_(618) 440-5091 FAX"/>
    <s v=""/>
    <s v=""/>
    <s v=""/>
    <s v=""/>
    <s v=""/>
    <s v=""/>
    <s v=""/>
    <s v=""/>
    <s v=""/>
    <s v=""/>
    <s v=""/>
    <s v=""/>
    <s v=""/>
    <s v=""/>
    <s v=""/>
    <s v=""/>
    <s v=""/>
    <s v="371616Newsletter Recipient, 371627House of Representatives"/>
    <m/>
    <x v="0"/>
  </r>
  <r>
    <n v="34090264"/>
    <b v="0"/>
    <b v="0"/>
    <b v="0"/>
    <b v="1"/>
    <b v="0"/>
    <b v="1"/>
    <b v="1"/>
    <b v="0"/>
    <b v="0"/>
    <n v="0"/>
    <n v="0"/>
    <m/>
    <d v="2018-04-02T00:00:00"/>
    <n v="32127162"/>
    <d v="2016-08-29T00:00:00"/>
    <m/>
    <m/>
    <s v=""/>
    <b v="0"/>
    <m/>
    <m/>
    <d v="2016-08-29T00:00:00"/>
    <m/>
    <n v="791522"/>
    <b v="1"/>
    <m/>
    <m/>
    <m/>
    <x v="0"/>
    <b v="1"/>
    <n v="34090264"/>
    <s v="Marleen"/>
    <s v="Severino"/>
    <s v="Evolent Health"/>
    <s v=""/>
    <s v="Marleen Severino_x000a_Network Manager_x000a_300 S. Riverside Plaza, Suite 700/Chicago, IL 60606_x000a_312-277-6300 Ext. 4392_x000a_E   mseverino@evolenthealth.com_x000a_W www.countycare.com"/>
    <s v="mseverino@evolenthealth.com"/>
    <s v="312-277-6300 Ext. 4392"/>
    <s v=""/>
    <s v=""/>
    <s v=""/>
    <s v=""/>
    <s v=""/>
    <s v=""/>
    <s v=""/>
    <s v="Network Manager of Ancillary Services for CountyCare"/>
    <s v=""/>
    <s v=""/>
    <s v=""/>
    <s v=""/>
    <s v=""/>
    <s v=""/>
    <s v=""/>
    <s v="335736Provider Relations - Committee Members, 371616Newsletter Recipient"/>
    <m/>
    <x v="0"/>
  </r>
  <r>
    <n v="41990506"/>
    <b v="0"/>
    <b v="0"/>
    <b v="0"/>
    <b v="1"/>
    <b v="0"/>
    <b v="1"/>
    <b v="1"/>
    <b v="0"/>
    <b v="0"/>
    <n v="0"/>
    <n v="0"/>
    <m/>
    <m/>
    <m/>
    <d v="2017-10-17T00:00:00"/>
    <m/>
    <m/>
    <s v=""/>
    <b v="0"/>
    <m/>
    <m/>
    <d v="2017-10-17T00:00:00"/>
    <m/>
    <n v="791522"/>
    <b v="1"/>
    <m/>
    <d v="2017-10-17T00:00:00"/>
    <m/>
    <x v="0"/>
    <b v="1"/>
    <n v="41990506"/>
    <s v="John"/>
    <s v="Shadowens"/>
    <s v="Spero Family Services"/>
    <s v=""/>
    <s v=""/>
    <s v="john.shadowens@sperofs.org"/>
    <s v=""/>
    <s v=""/>
    <s v=""/>
    <s v=""/>
    <s v=""/>
    <s v=""/>
    <s v=""/>
    <s v=""/>
    <s v=""/>
    <s v=""/>
    <s v=""/>
    <s v=""/>
    <s v=""/>
    <s v=""/>
    <s v=""/>
    <s v=""/>
    <s v="371616Newsletter Recipient"/>
    <m/>
    <x v="0"/>
  </r>
  <r>
    <n v="45814457"/>
    <b v="0"/>
    <b v="0"/>
    <b v="0"/>
    <b v="1"/>
    <b v="0"/>
    <b v="1"/>
    <b v="1"/>
    <b v="0"/>
    <b v="0"/>
    <n v="0"/>
    <n v="0"/>
    <m/>
    <d v="2018-05-29T00:00:00"/>
    <n v="32127162"/>
    <d v="2018-05-29T00:00:00"/>
    <m/>
    <m/>
    <s v=""/>
    <b v="0"/>
    <m/>
    <m/>
    <d v="2018-05-29T00:00:00"/>
    <m/>
    <n v="791522"/>
    <b v="1"/>
    <m/>
    <d v="2018-05-29T00:00:00"/>
    <m/>
    <x v="0"/>
    <b v="1"/>
    <n v="45814457"/>
    <s v="Bhavin"/>
    <s v="Shah"/>
    <s v="Evolent Health"/>
    <s v=""/>
    <s v=""/>
    <s v="bshah@evolenthealth.com"/>
    <s v=""/>
    <s v=""/>
    <s v=""/>
    <s v=""/>
    <s v=""/>
    <s v=""/>
    <s v=""/>
    <s v="Evolent Health"/>
    <s v=""/>
    <s v=""/>
    <s v=""/>
    <s v=""/>
    <s v=""/>
    <s v=""/>
    <s v=""/>
    <s v=""/>
    <s v="447857HFS Ops Workgroup"/>
    <m/>
    <x v="0"/>
  </r>
  <r>
    <n v="34021536"/>
    <b v="0"/>
    <b v="0"/>
    <b v="0"/>
    <b v="1"/>
    <b v="0"/>
    <b v="1"/>
    <b v="1"/>
    <b v="0"/>
    <b v="0"/>
    <n v="0"/>
    <n v="0"/>
    <m/>
    <d v="2018-01-12T00:00:00"/>
    <n v="32127162"/>
    <d v="2016-08-22T00:00:00"/>
    <m/>
    <m/>
    <s v=""/>
    <b v="0"/>
    <m/>
    <m/>
    <d v="2016-08-22T00:00:00"/>
    <m/>
    <n v="791522"/>
    <b v="1"/>
    <m/>
    <m/>
    <m/>
    <x v="0"/>
    <b v="1"/>
    <n v="34021536"/>
    <s v="Kathleen"/>
    <s v="Shanahan"/>
    <s v="Community Care Alliance of Illinois (CCAI)"/>
    <s v=""/>
    <s v=""/>
    <s v="KShanahan@ccaillinois.com"/>
    <s v="312-880-1637"/>
    <s v=""/>
    <s v=""/>
    <s v=""/>
    <s v=""/>
    <s v=""/>
    <s v=""/>
    <s v=""/>
    <s v=""/>
    <s v=""/>
    <s v=""/>
    <s v=""/>
    <s v=""/>
    <s v=""/>
    <s v=""/>
    <s v=""/>
    <m/>
    <m/>
    <x v="0"/>
  </r>
  <r>
    <n v="37819915"/>
    <b v="0"/>
    <b v="0"/>
    <b v="0"/>
    <b v="1"/>
    <b v="0"/>
    <b v="1"/>
    <b v="1"/>
    <b v="0"/>
    <b v="0"/>
    <n v="0"/>
    <n v="0"/>
    <m/>
    <d v="2017-02-24T00:00:00"/>
    <n v="32127162"/>
    <d v="2017-02-24T00:00:00"/>
    <m/>
    <m/>
    <s v=""/>
    <b v="0"/>
    <m/>
    <m/>
    <d v="2017-02-24T00:00:00"/>
    <m/>
    <n v="791522"/>
    <b v="1"/>
    <m/>
    <m/>
    <m/>
    <x v="0"/>
    <b v="1"/>
    <n v="37819915"/>
    <s v="Jay"/>
    <s v="Shattuck"/>
    <s v=""/>
    <s v=""/>
    <s v=""/>
    <s v="jaydeeshattuck@gmail.com"/>
    <s v=""/>
    <s v=""/>
    <s v=""/>
    <s v=""/>
    <s v=""/>
    <s v=""/>
    <s v=""/>
    <s v=""/>
    <s v=""/>
    <s v=""/>
    <s v=""/>
    <s v=""/>
    <s v=""/>
    <s v=""/>
    <s v=""/>
    <s v=""/>
    <s v="371616Newsletter Recipient, 372296Legislative Committee"/>
    <m/>
    <x v="0"/>
  </r>
  <r>
    <n v="41881732"/>
    <b v="0"/>
    <b v="0"/>
    <b v="0"/>
    <b v="1"/>
    <b v="0"/>
    <b v="1"/>
    <b v="1"/>
    <b v="0"/>
    <b v="0"/>
    <n v="0"/>
    <n v="0"/>
    <m/>
    <d v="2017-10-06T00:00:00"/>
    <n v="32127162"/>
    <d v="2017-10-06T00:00:00"/>
    <m/>
    <m/>
    <s v=""/>
    <b v="0"/>
    <m/>
    <m/>
    <d v="2017-10-06T00:00:00"/>
    <m/>
    <n v="791522"/>
    <b v="1"/>
    <m/>
    <d v="2017-10-06T00:00:00"/>
    <m/>
    <x v="0"/>
    <b v="1"/>
    <n v="41881732"/>
    <s v="William"/>
    <s v="Shaw"/>
    <s v="Pheonix HealthCare Newsletter"/>
    <s v=""/>
    <s v=""/>
    <s v="wmshawandassociates@gmail.com"/>
    <s v=""/>
    <s v=""/>
    <s v=""/>
    <s v=""/>
    <s v=""/>
    <s v=""/>
    <s v=""/>
    <s v=""/>
    <s v=""/>
    <s v=""/>
    <s v=""/>
    <s v=""/>
    <s v=""/>
    <s v=""/>
    <s v=""/>
    <s v=""/>
    <s v="371616Newsletter Recipient"/>
    <m/>
    <x v="0"/>
  </r>
  <r>
    <n v="37819919"/>
    <b v="0"/>
    <b v="0"/>
    <b v="0"/>
    <b v="1"/>
    <b v="0"/>
    <b v="1"/>
    <b v="1"/>
    <b v="0"/>
    <b v="0"/>
    <n v="0"/>
    <n v="0"/>
    <m/>
    <d v="2017-03-28T00:00:00"/>
    <n v="32127162"/>
    <d v="2017-02-24T00:00:00"/>
    <m/>
    <m/>
    <s v=""/>
    <b v="0"/>
    <m/>
    <m/>
    <d v="2017-02-24T00:00:00"/>
    <m/>
    <n v="791522"/>
    <b v="1"/>
    <m/>
    <m/>
    <m/>
    <x v="0"/>
    <b v="1"/>
    <n v="37819919"/>
    <s v="Dr. Stephen"/>
    <s v="Shaya"/>
    <s v="J &amp; B Medical Supply"/>
    <s v=""/>
    <s v=""/>
    <s v="sshaya@jandbmedical.com"/>
    <s v=""/>
    <s v=""/>
    <s v=""/>
    <s v=""/>
    <s v=""/>
    <s v=""/>
    <s v=""/>
    <s v=""/>
    <s v=""/>
    <s v=""/>
    <s v=""/>
    <s v=""/>
    <s v=""/>
    <s v=""/>
    <s v=""/>
    <s v=""/>
    <s v="371616Newsletter Recipient, 372311Business Member"/>
    <m/>
    <x v="0"/>
  </r>
  <r>
    <n v="37819920"/>
    <b v="0"/>
    <b v="0"/>
    <b v="0"/>
    <b v="1"/>
    <b v="0"/>
    <b v="1"/>
    <b v="1"/>
    <b v="0"/>
    <b v="0"/>
    <n v="0"/>
    <n v="0"/>
    <m/>
    <d v="2017-02-24T00:00:00"/>
    <n v="32127162"/>
    <d v="2017-02-24T00:00:00"/>
    <m/>
    <m/>
    <s v=""/>
    <b v="0"/>
    <m/>
    <m/>
    <d v="2017-02-24T00:00:00"/>
    <m/>
    <n v="791522"/>
    <b v="1"/>
    <m/>
    <m/>
    <m/>
    <x v="0"/>
    <b v="1"/>
    <n v="37819920"/>
    <s v="Mary"/>
    <s v="Shenoo"/>
    <s v="Molina Healthcare of Illinois, Inc."/>
    <s v=""/>
    <s v=""/>
    <s v="Mary.Shenoo@MolinaHealthCare.com"/>
    <s v=""/>
    <s v=""/>
    <s v=""/>
    <s v=""/>
    <s v=""/>
    <s v=""/>
    <s v=""/>
    <s v=""/>
    <s v=""/>
    <s v=""/>
    <s v=""/>
    <s v=""/>
    <s v=""/>
    <s v=""/>
    <s v=""/>
    <s v=""/>
    <s v="371616Newsletter Recipient"/>
    <m/>
    <x v="0"/>
  </r>
  <r>
    <n v="34033657"/>
    <b v="0"/>
    <b v="0"/>
    <b v="0"/>
    <b v="1"/>
    <b v="0"/>
    <b v="1"/>
    <b v="1"/>
    <b v="0"/>
    <b v="0"/>
    <n v="0"/>
    <n v="0"/>
    <m/>
    <d v="2017-02-24T00:00:00"/>
    <n v="32127162"/>
    <d v="2016-08-23T00:00:00"/>
    <m/>
    <m/>
    <s v=""/>
    <b v="0"/>
    <m/>
    <m/>
    <d v="2016-08-23T00:00:00"/>
    <m/>
    <n v="791522"/>
    <b v="1"/>
    <m/>
    <m/>
    <m/>
    <x v="0"/>
    <b v="1"/>
    <n v="34033657"/>
    <s v="Angela"/>
    <s v="Shephard"/>
    <s v="Humana"/>
    <s v=""/>
    <s v=""/>
    <s v="AShephard@humana.com"/>
    <s v="312-441-5345"/>
    <s v=""/>
    <s v=""/>
    <s v=""/>
    <s v=""/>
    <s v=""/>
    <s v=""/>
    <s v=""/>
    <s v=""/>
    <s v=""/>
    <s v=""/>
    <s v=""/>
    <s v=""/>
    <s v=""/>
    <s v=""/>
    <s v=""/>
    <s v="335745Quality Directors, 371616Newsletter Recipient"/>
    <m/>
    <x v="0"/>
  </r>
  <r>
    <n v="34095960"/>
    <b v="0"/>
    <b v="0"/>
    <b v="0"/>
    <b v="1"/>
    <b v="0"/>
    <b v="1"/>
    <b v="1"/>
    <b v="0"/>
    <b v="0"/>
    <n v="0"/>
    <n v="0"/>
    <m/>
    <d v="2018-05-09T00:00:00"/>
    <n v="32127162"/>
    <d v="2016-08-30T00:00:00"/>
    <m/>
    <m/>
    <s v=""/>
    <b v="0"/>
    <m/>
    <m/>
    <d v="2016-08-29T00:00:00"/>
    <m/>
    <n v="791522"/>
    <b v="1"/>
    <m/>
    <m/>
    <m/>
    <x v="0"/>
    <b v="1"/>
    <n v="34095960"/>
    <s v="Connie"/>
    <s v="Sherman"/>
    <s v="IlliniCare Health"/>
    <s v=""/>
    <s v=""/>
    <s v="CSherman@centene.com"/>
    <s v="866.329.4701 ext 47858"/>
    <s v=""/>
    <s v=""/>
    <s v=""/>
    <s v=""/>
    <s v=""/>
    <s v=""/>
    <s v=""/>
    <s v=""/>
    <s v=""/>
    <s v=""/>
    <s v=""/>
    <s v=""/>
    <s v=""/>
    <s v=""/>
    <s v=""/>
    <s v="371616Newsletter Recipient, 420987LTC - Contracts, 420988LTC - Claims &amp; Billing, 420989LTC - Care Coordination"/>
    <s v="10633525Contracts, 10633526Claims/Billing, 10633527Care Coordination"/>
    <x v="0"/>
  </r>
  <r>
    <n v="42674630"/>
    <b v="0"/>
    <b v="0"/>
    <b v="1"/>
    <b v="1"/>
    <b v="0"/>
    <b v="1"/>
    <b v="1"/>
    <b v="0"/>
    <b v="0"/>
    <n v="0"/>
    <n v="0"/>
    <m/>
    <d v="2017-11-29T00:00:00"/>
    <n v="32127162"/>
    <d v="2017-11-17T00:00:00"/>
    <d v="2017-11-17T00:00:00"/>
    <m/>
    <s v=""/>
    <b v="0"/>
    <m/>
    <m/>
    <d v="2017-11-29T00:00:00"/>
    <m/>
    <n v="791522"/>
    <b v="1"/>
    <m/>
    <d v="2017-11-29T00:00:00"/>
    <m/>
    <x v="0"/>
    <b v="1"/>
    <n v="42674630"/>
    <s v="Rebecca"/>
    <s v="Shipley"/>
    <s v="Jersey County Health Department"/>
    <s v="MCH Coordinator"/>
    <s v="Immunizations_x000a_Public Health Nursing_x000a_WIC/ FCM"/>
    <s v="bshipley@jerseycountyhealth.org"/>
    <s v="618-498-9565"/>
    <s v=""/>
    <s v=""/>
    <s v=""/>
    <s v=""/>
    <s v=""/>
    <s v=""/>
    <s v="Jersey County Health Department"/>
    <s v=""/>
    <s v=""/>
    <s v=""/>
    <s v=""/>
    <s v=""/>
    <s v=""/>
    <s v=""/>
    <s v=""/>
    <s v="371616Newsletter Recipient"/>
    <m/>
    <x v="0"/>
  </r>
  <r>
    <n v="41990507"/>
    <b v="0"/>
    <b v="0"/>
    <b v="0"/>
    <b v="1"/>
    <b v="0"/>
    <b v="1"/>
    <b v="1"/>
    <b v="0"/>
    <b v="0"/>
    <n v="0"/>
    <n v="0"/>
    <m/>
    <d v="2017-10-17T00:00:00"/>
    <n v="32127162"/>
    <d v="2017-10-17T00:00:00"/>
    <m/>
    <m/>
    <s v=""/>
    <b v="0"/>
    <m/>
    <m/>
    <d v="2017-10-17T00:00:00"/>
    <m/>
    <n v="791522"/>
    <b v="1"/>
    <m/>
    <d v="2017-10-17T00:00:00"/>
    <m/>
    <x v="0"/>
    <b v="1"/>
    <n v="41990507"/>
    <s v="LeAnne"/>
    <s v="Shoemaker"/>
    <s v="Macon County Mental Health Board"/>
    <s v=""/>
    <s v=""/>
    <s v="lshoemaker@mcmhb.com"/>
    <s v=""/>
    <s v=""/>
    <s v=""/>
    <s v=""/>
    <s v=""/>
    <s v=""/>
    <s v=""/>
    <s v=""/>
    <s v=""/>
    <s v=""/>
    <s v=""/>
    <s v=""/>
    <s v=""/>
    <s v=""/>
    <s v=""/>
    <s v=""/>
    <s v="371616Newsletter Recipient"/>
    <m/>
    <x v="0"/>
  </r>
  <r>
    <n v="37819928"/>
    <b v="0"/>
    <b v="0"/>
    <b v="0"/>
    <b v="1"/>
    <b v="0"/>
    <b v="1"/>
    <b v="1"/>
    <b v="0"/>
    <b v="0"/>
    <n v="0"/>
    <n v="0"/>
    <m/>
    <d v="2017-02-24T00:00:00"/>
    <n v="32127162"/>
    <d v="2017-02-24T00:00:00"/>
    <m/>
    <m/>
    <s v=""/>
    <b v="0"/>
    <m/>
    <m/>
    <d v="2017-02-24T00:00:00"/>
    <m/>
    <n v="791522"/>
    <b v="1"/>
    <m/>
    <m/>
    <m/>
    <x v="0"/>
    <b v="1"/>
    <n v="37819928"/>
    <s v="Alicia"/>
    <s v="Siani"/>
    <s v="EverThrive Illinois"/>
    <s v=""/>
    <s v=""/>
    <s v="asiani@everthriveil.org"/>
    <s v=""/>
    <s v=""/>
    <s v=""/>
    <s v=""/>
    <s v=""/>
    <s v=""/>
    <s v=""/>
    <s v=""/>
    <s v=""/>
    <s v=""/>
    <s v=""/>
    <s v=""/>
    <s v=""/>
    <s v=""/>
    <s v=""/>
    <s v=""/>
    <s v="371616Newsletter Recipient"/>
    <m/>
    <x v="0"/>
  </r>
  <r>
    <n v="45398583"/>
    <b v="0"/>
    <b v="0"/>
    <b v="0"/>
    <b v="1"/>
    <b v="0"/>
    <b v="1"/>
    <b v="1"/>
    <b v="0"/>
    <b v="0"/>
    <n v="0"/>
    <n v="0"/>
    <m/>
    <d v="2018-05-18T00:00:00"/>
    <n v="32127162"/>
    <d v="2018-05-18T00:00:00"/>
    <m/>
    <m/>
    <s v=""/>
    <b v="0"/>
    <m/>
    <m/>
    <d v="2018-05-18T00:00:00"/>
    <m/>
    <n v="791522"/>
    <b v="1"/>
    <m/>
    <d v="2018-05-18T00:00:00"/>
    <m/>
    <x v="0"/>
    <b v="1"/>
    <n v="45398583"/>
    <s v="Humza"/>
    <s v="Siddiqui"/>
    <s v="IlliniCare Health"/>
    <s v=""/>
    <s v=""/>
    <s v="hsiddiqui@illinicare.com"/>
    <s v=""/>
    <s v=""/>
    <s v=""/>
    <s v=""/>
    <s v=""/>
    <s v=""/>
    <s v=""/>
    <s v="IlliniCare Health"/>
    <s v="Config Analyst"/>
    <s v=""/>
    <s v=""/>
    <s v=""/>
    <s v=""/>
    <s v=""/>
    <s v=""/>
    <s v=""/>
    <s v="371616Newsletter Recipient, 443814Billing Working Group"/>
    <m/>
    <x v="0"/>
  </r>
  <r>
    <n v="37819929"/>
    <b v="0"/>
    <b v="0"/>
    <b v="0"/>
    <b v="1"/>
    <b v="0"/>
    <b v="1"/>
    <b v="1"/>
    <b v="0"/>
    <b v="0"/>
    <n v="0"/>
    <n v="0"/>
    <m/>
    <d v="2017-02-24T00:00:00"/>
    <n v="32127162"/>
    <d v="2017-02-24T00:00:00"/>
    <m/>
    <m/>
    <s v=""/>
    <b v="0"/>
    <m/>
    <m/>
    <d v="2017-02-24T00:00:00"/>
    <m/>
    <n v="791522"/>
    <b v="1"/>
    <m/>
    <m/>
    <m/>
    <x v="0"/>
    <b v="1"/>
    <n v="37819929"/>
    <s v="Sharon"/>
    <s v="Sidell"/>
    <s v="Be Well"/>
    <s v=""/>
    <s v=""/>
    <s v="ssidell@bewellpartnersinhealth.com"/>
    <s v=""/>
    <s v=""/>
    <s v="PhD"/>
    <s v=""/>
    <s v=""/>
    <s v=""/>
    <s v=""/>
    <s v=""/>
    <s v="Executive Director"/>
    <s v=""/>
    <s v=""/>
    <s v=""/>
    <s v=""/>
    <s v=""/>
    <s v=""/>
    <s v=""/>
    <s v="371616Newsletter Recipient"/>
    <m/>
    <x v="0"/>
  </r>
  <r>
    <n v="37819930"/>
    <b v="0"/>
    <b v="0"/>
    <b v="0"/>
    <b v="1"/>
    <b v="0"/>
    <b v="1"/>
    <b v="1"/>
    <b v="0"/>
    <b v="0"/>
    <n v="0"/>
    <n v="0"/>
    <m/>
    <d v="2017-02-24T00:00:00"/>
    <n v="32127162"/>
    <d v="2017-02-24T00:00:00"/>
    <m/>
    <m/>
    <s v=""/>
    <b v="0"/>
    <m/>
    <m/>
    <d v="2017-02-24T00:00:00"/>
    <m/>
    <n v="791522"/>
    <b v="1"/>
    <m/>
    <m/>
    <m/>
    <x v="0"/>
    <b v="1"/>
    <n v="37819930"/>
    <s v="Jessica"/>
    <s v="Silver"/>
    <s v=""/>
    <s v=""/>
    <s v=""/>
    <s v="jsilver@centene.com"/>
    <s v=""/>
    <s v=""/>
    <s v=""/>
    <s v=""/>
    <s v=""/>
    <s v=""/>
    <s v=""/>
    <s v=""/>
    <s v=""/>
    <s v=""/>
    <s v=""/>
    <s v=""/>
    <s v=""/>
    <s v=""/>
    <s v=""/>
    <s v=""/>
    <s v="371616Newsletter Recipient"/>
    <m/>
    <x v="0"/>
  </r>
  <r>
    <n v="37770869"/>
    <b v="0"/>
    <b v="0"/>
    <b v="0"/>
    <b v="1"/>
    <b v="0"/>
    <b v="1"/>
    <b v="1"/>
    <b v="0"/>
    <b v="0"/>
    <n v="0"/>
    <n v="0"/>
    <m/>
    <d v="2017-02-24T00:00:00"/>
    <n v="32127162"/>
    <d v="2017-02-20T00:00:00"/>
    <m/>
    <m/>
    <s v=""/>
    <b v="0"/>
    <m/>
    <m/>
    <d v="2017-02-20T00:00:00"/>
    <m/>
    <n v="791522"/>
    <b v="1"/>
    <m/>
    <m/>
    <m/>
    <x v="0"/>
    <b v="1"/>
    <n v="37770869"/>
    <s v="Ira"/>
    <s v="Silverstein"/>
    <s v="Illinois General Assembly"/>
    <s v=""/>
    <s v="Senator Ira I. Silverstein (D)_x000a_8th District_x000a_Majority Caucus Chair_x0009__x000a__x000a_Springfield Office:_x000a_Senator 8th District_x000a_121B Capitol Building_x000a_Springfield, IL   62706_x000a_(217) 782-5500_x000a_(217) 782-5340 FAX_x000a_ _x000a_District Office:_x000a_2951 West Devon Ave._x000a_Chicago, IL  60659_x000a_(773) 743-5015_x000a_(773) 743-4750 FAX"/>
    <s v=""/>
    <s v=""/>
    <s v=""/>
    <s v=""/>
    <s v=""/>
    <s v=""/>
    <s v="(217) 782-5500"/>
    <s v=""/>
    <s v=""/>
    <s v=""/>
    <s v=""/>
    <s v=""/>
    <s v=""/>
    <s v=""/>
    <s v=""/>
    <s v=""/>
    <s v=""/>
    <s v="371609Senator, 371616Newsletter Recipient"/>
    <m/>
    <x v="0"/>
  </r>
  <r>
    <n v="37819933"/>
    <b v="0"/>
    <b v="0"/>
    <b v="0"/>
    <b v="1"/>
    <b v="0"/>
    <b v="1"/>
    <b v="1"/>
    <b v="0"/>
    <b v="0"/>
    <n v="0"/>
    <n v="0"/>
    <m/>
    <d v="2017-02-24T00:00:00"/>
    <n v="32127162"/>
    <d v="2017-02-24T00:00:00"/>
    <m/>
    <m/>
    <s v=""/>
    <b v="0"/>
    <m/>
    <m/>
    <d v="2017-02-24T00:00:00"/>
    <m/>
    <n v="791522"/>
    <b v="1"/>
    <m/>
    <m/>
    <m/>
    <x v="0"/>
    <b v="1"/>
    <n v="37819933"/>
    <s v="Bruce"/>
    <s v="Simon"/>
    <s v=""/>
    <s v=""/>
    <s v=""/>
    <s v="bsimon@601w.com"/>
    <s v=""/>
    <s v=""/>
    <s v=""/>
    <s v=""/>
    <s v=""/>
    <s v=""/>
    <s v=""/>
    <s v=""/>
    <s v=""/>
    <s v=""/>
    <s v=""/>
    <s v=""/>
    <s v=""/>
    <s v=""/>
    <s v=""/>
    <s v=""/>
    <s v="371616Newsletter Recipient, 372296Legislative Committee"/>
    <m/>
    <x v="0"/>
  </r>
  <r>
    <n v="37779475"/>
    <b v="0"/>
    <b v="0"/>
    <b v="0"/>
    <b v="1"/>
    <b v="0"/>
    <b v="1"/>
    <b v="1"/>
    <b v="0"/>
    <b v="0"/>
    <n v="0"/>
    <n v="0"/>
    <m/>
    <d v="2017-02-21T00:00:00"/>
    <n v="32127162"/>
    <d v="2017-02-21T00:00:00"/>
    <m/>
    <m/>
    <s v=""/>
    <b v="0"/>
    <m/>
    <m/>
    <d v="2017-02-20T00:00:00"/>
    <m/>
    <n v="791522"/>
    <b v="1"/>
    <m/>
    <m/>
    <m/>
    <x v="0"/>
    <b v="1"/>
    <n v="37779475"/>
    <s v="Elgie"/>
    <s v="Sims, Jr."/>
    <s v="Illinois General Assembly"/>
    <s v=""/>
    <s v="Representative Elgie R. Sims, Jr. (D)_x000a_34th District_x0009_ _x0009__x000a__x000a_Springfield Office:_x000a_286-S Stratton Office Building_x000a_Springfield, IL   62706_x000a_(217) 782-6476_x000a_(217) 782-0952 FAX_x000a_District Office:_x000a_8658 S. Cottage Grove_x000a_Suite #404B_x000a_Chicago, IL  60619_x000a_(773) 783-8800_x000a_(773) 783-8773 FAX_x000a_Email: esims@repelgiesims34.com"/>
    <s v=""/>
    <s v=""/>
    <s v=""/>
    <s v=""/>
    <s v=""/>
    <s v=""/>
    <s v=""/>
    <s v=""/>
    <s v=""/>
    <s v=""/>
    <s v=""/>
    <s v=""/>
    <s v=""/>
    <s v=""/>
    <s v=""/>
    <s v=""/>
    <s v=""/>
    <s v="371616Newsletter Recipient, 371627House of Representatives"/>
    <m/>
    <x v="0"/>
  </r>
  <r>
    <n v="37779479"/>
    <b v="0"/>
    <b v="0"/>
    <b v="0"/>
    <b v="1"/>
    <b v="0"/>
    <b v="1"/>
    <b v="1"/>
    <b v="0"/>
    <b v="0"/>
    <n v="0"/>
    <n v="0"/>
    <m/>
    <d v="2017-02-24T00:00:00"/>
    <n v="32127162"/>
    <d v="2017-02-21T00:00:00"/>
    <m/>
    <m/>
    <s v=""/>
    <b v="0"/>
    <m/>
    <m/>
    <d v="2017-02-20T00:00:00"/>
    <m/>
    <n v="791522"/>
    <b v="1"/>
    <m/>
    <m/>
    <m/>
    <x v="0"/>
    <b v="1"/>
    <n v="37779479"/>
    <s v="Allen"/>
    <s v="Skillicorn"/>
    <s v="Illinois General Assembly"/>
    <s v=""/>
    <s v="Representative Allen Skillicorn (R)_x000a_66th District _x0009__x000a__x000a_Springfield Office:_x000a_222-N Stratton Office Building_x000a_Springfield, IL   62706_x000a_(217) 782-0432_x000a_(217) 782-1275 FAX_x000a__x000a_District Office:_x000a_1500 Carlemont Drive_x000a_Suite D_x000a_Crystal Lake, IL  60014_x000a_(815) 893-4884_x000a_(815) 893-4223 FAX"/>
    <s v="skillicorn@ilhousegop.org"/>
    <s v=""/>
    <s v=""/>
    <s v=""/>
    <s v=""/>
    <s v=""/>
    <s v=""/>
    <s v=""/>
    <s v=""/>
    <s v=""/>
    <s v=""/>
    <s v=""/>
    <s v=""/>
    <s v=""/>
    <s v=""/>
    <s v=""/>
    <s v=""/>
    <s v="371616Newsletter Recipient, 371627House of Representatives"/>
    <m/>
    <x v="0"/>
  </r>
  <r>
    <n v="37779484"/>
    <b v="0"/>
    <b v="0"/>
    <b v="0"/>
    <b v="1"/>
    <b v="0"/>
    <b v="1"/>
    <b v="1"/>
    <b v="0"/>
    <b v="0"/>
    <n v="0"/>
    <n v="0"/>
    <m/>
    <d v="2017-02-21T00:00:00"/>
    <n v="32127162"/>
    <d v="2017-02-21T00:00:00"/>
    <m/>
    <m/>
    <s v=""/>
    <b v="0"/>
    <m/>
    <m/>
    <d v="2017-02-20T00:00:00"/>
    <m/>
    <n v="791522"/>
    <b v="1"/>
    <m/>
    <m/>
    <m/>
    <x v="0"/>
    <b v="1"/>
    <n v="37779484"/>
    <s v="Justin"/>
    <s v="Slaughter"/>
    <s v="Illinois General Assembly"/>
    <s v=""/>
    <s v="Representative Justin Slaughter (D)_x000a_27th District _x0009__x000a__x000a_Springfield Office:_x000a_266-S Stratton Office Building_x000a_Springfield, IL   62706_x000a_(217) 782-0010"/>
    <s v=""/>
    <s v=""/>
    <s v=""/>
    <s v=""/>
    <s v=""/>
    <s v=""/>
    <s v=""/>
    <s v=""/>
    <s v=""/>
    <s v=""/>
    <s v=""/>
    <s v=""/>
    <s v=""/>
    <s v=""/>
    <s v=""/>
    <s v=""/>
    <s v=""/>
    <s v="371616Newsletter Recipient, 371627House of Representatives"/>
    <m/>
    <x v="0"/>
  </r>
  <r>
    <n v="46436582"/>
    <b v="0"/>
    <b v="0"/>
    <b v="0"/>
    <b v="1"/>
    <b v="0"/>
    <b v="1"/>
    <b v="1"/>
    <b v="0"/>
    <b v="0"/>
    <n v="0"/>
    <n v="0"/>
    <m/>
    <d v="2018-06-21T00:00:00"/>
    <n v="32127162"/>
    <d v="2018-06-21T00:00:00"/>
    <m/>
    <m/>
    <s v=""/>
    <b v="0"/>
    <m/>
    <m/>
    <d v="2018-06-21T00:00:00"/>
    <m/>
    <n v="791522"/>
    <b v="1"/>
    <m/>
    <d v="2018-06-21T00:00:00"/>
    <m/>
    <x v="0"/>
    <b v="1"/>
    <n v="46436582"/>
    <s v="Vicky"/>
    <s v="Slawson"/>
    <s v="OSF Healthcare System"/>
    <s v=""/>
    <s v=""/>
    <s v="victoria.s.slawson@osfhealthcare.org"/>
    <s v=""/>
    <s v=""/>
    <s v=""/>
    <s v=""/>
    <s v=""/>
    <s v=""/>
    <s v=""/>
    <s v="OSF Healthcare System"/>
    <s v=""/>
    <s v=""/>
    <s v=""/>
    <s v=""/>
    <s v=""/>
    <s v=""/>
    <s v=""/>
    <s v=""/>
    <s v="371616Newsletter Recipient"/>
    <m/>
    <x v="0"/>
  </r>
  <r>
    <n v="37819935"/>
    <b v="0"/>
    <b v="0"/>
    <b v="0"/>
    <b v="1"/>
    <b v="0"/>
    <b v="1"/>
    <b v="1"/>
    <b v="0"/>
    <b v="0"/>
    <n v="0"/>
    <n v="0"/>
    <m/>
    <d v="2018-06-21T00:00:00"/>
    <n v="32127162"/>
    <d v="2017-02-24T00:00:00"/>
    <m/>
    <m/>
    <s v=""/>
    <b v="0"/>
    <m/>
    <m/>
    <d v="2017-02-24T00:00:00"/>
    <m/>
    <n v="791522"/>
    <b v="1"/>
    <m/>
    <m/>
    <m/>
    <x v="0"/>
    <b v="1"/>
    <n v="37819935"/>
    <s v="Wayne"/>
    <s v="Smallwood"/>
    <s v="Affordable Assisted Living Coalition (AALC)"/>
    <s v=""/>
    <s v=""/>
    <s v="wsmallwood@aalconline.org"/>
    <s v=""/>
    <s v=""/>
    <s v=""/>
    <s v=""/>
    <s v=""/>
    <s v=""/>
    <s v=""/>
    <s v="Affordable Assisted Living Coalition (AALC)"/>
    <s v="Executive Director"/>
    <s v=""/>
    <s v=""/>
    <s v=""/>
    <s v=""/>
    <s v=""/>
    <s v=""/>
    <s v=""/>
    <s v="371616Newsletter Recipient"/>
    <m/>
    <x v="0"/>
  </r>
  <r>
    <n v="43417704"/>
    <b v="0"/>
    <b v="0"/>
    <b v="0"/>
    <b v="1"/>
    <b v="0"/>
    <b v="1"/>
    <b v="1"/>
    <b v="0"/>
    <b v="0"/>
    <n v="0"/>
    <n v="0"/>
    <m/>
    <d v="2018-03-23T00:00:00"/>
    <n v="32127162"/>
    <d v="2018-01-22T00:00:00"/>
    <m/>
    <m/>
    <s v=""/>
    <b v="0"/>
    <m/>
    <m/>
    <d v="2018-01-22T00:00:00"/>
    <m/>
    <n v="791522"/>
    <b v="1"/>
    <m/>
    <d v="2018-01-22T00:00:00"/>
    <m/>
    <x v="0"/>
    <b v="1"/>
    <n v="43417704"/>
    <s v="Beth"/>
    <s v="Smith"/>
    <s v="Meridian Health Plan"/>
    <s v=""/>
    <s v=""/>
    <s v="beth.smith@mhplan.com"/>
    <s v="312.705.6489"/>
    <s v=""/>
    <s v=""/>
    <s v=""/>
    <s v=""/>
    <s v=""/>
    <s v=""/>
    <s v=""/>
    <s v=""/>
    <s v=""/>
    <s v=""/>
    <s v=""/>
    <s v=""/>
    <s v=""/>
    <s v=""/>
    <s v=""/>
    <s v="335736Provider Relations - Committee Members, 371616Newsletter Recipient, 420932FQHC - Contracts, 420933FQHC - Claims &amp; Billing, 420941Hospitals - Contracts, 420942Hospitals - Claims &amp; Billing, 420950Physicians - Contracts, 420951Physicians - Claims &amp; Billing, 420953Public Health Department - Contracts, 420954Public Health Department - Claims &amp; Billing"/>
    <s v="10633525Contracts, 10633526Claims/Billing"/>
    <x v="0"/>
  </r>
  <r>
    <n v="43339677"/>
    <b v="0"/>
    <b v="0"/>
    <b v="0"/>
    <b v="1"/>
    <b v="0"/>
    <b v="1"/>
    <b v="0"/>
    <b v="0"/>
    <b v="0"/>
    <n v="0"/>
    <n v="0"/>
    <m/>
    <d v="2018-05-29T00:00:00"/>
    <n v="32127162"/>
    <d v="2018-01-18T00:00:00"/>
    <m/>
    <m/>
    <s v=""/>
    <b v="0"/>
    <m/>
    <m/>
    <d v="2018-01-18T00:00:00"/>
    <m/>
    <n v="791522"/>
    <b v="1"/>
    <m/>
    <d v="2018-01-18T00:00:00"/>
    <m/>
    <x v="0"/>
    <b v="1"/>
    <n v="43339677"/>
    <s v="Briana"/>
    <s v="Smith"/>
    <s v="Aetna Better Health of Illinois"/>
    <s v=""/>
    <s v="Briana Smith_x000a_Network Relations Consultant_x000a_FQHC/CHMC/DASA/ Behavioral Health_x000a__x000a_Aetna Better Health® of Illinois_x000a_3200 Highland Ave_x000a_Downers Grove, IL 60515_x000a_Office: 630-737-6268_x000a_Fax: 959-282-1362_x000a_Cell: 224-580-0409_x000a_SmithB5@aetna.com"/>
    <s v="SmithB5@aetna.com"/>
    <s v=""/>
    <s v=""/>
    <s v=""/>
    <s v=""/>
    <s v=""/>
    <s v=""/>
    <s v=""/>
    <s v=""/>
    <s v=""/>
    <s v=""/>
    <s v=""/>
    <s v=""/>
    <s v=""/>
    <s v=""/>
    <s v=""/>
    <s v=""/>
    <s v="371616Newsletter Recipient, 372297Operations Committee, 447857HFS Ops Workgroup"/>
    <m/>
    <x v="0"/>
  </r>
  <r>
    <n v="39021325"/>
    <b v="0"/>
    <b v="0"/>
    <b v="0"/>
    <b v="1"/>
    <b v="0"/>
    <b v="1"/>
    <b v="1"/>
    <b v="0"/>
    <b v="0"/>
    <n v="0"/>
    <n v="0"/>
    <m/>
    <d v="2017-12-06T00:00:00"/>
    <n v="32127162"/>
    <d v="2017-05-22T00:00:00"/>
    <m/>
    <m/>
    <s v=""/>
    <b v="0"/>
    <m/>
    <m/>
    <d v="2017-05-22T00:00:00"/>
    <m/>
    <n v="791522"/>
    <b v="1"/>
    <m/>
    <m/>
    <m/>
    <x v="0"/>
    <b v="1"/>
    <n v="39021325"/>
    <s v="Chairman"/>
    <s v="Smith"/>
    <s v="Aetna Better Health of Illinois"/>
    <s v=""/>
    <s v=""/>
    <s v="SmithC25@aetna.com"/>
    <s v=""/>
    <s v=""/>
    <s v=""/>
    <s v=""/>
    <s v=""/>
    <s v=""/>
    <s v=""/>
    <s v=""/>
    <s v=""/>
    <s v=""/>
    <s v=""/>
    <s v=""/>
    <s v=""/>
    <s v=""/>
    <s v=""/>
    <s v=""/>
    <s v="335744Chief Medical Officer, 371616Newsletter Recipient, 372293Quality Committee"/>
    <m/>
    <x v="0"/>
  </r>
  <r>
    <n v="46436584"/>
    <b v="0"/>
    <b v="0"/>
    <b v="0"/>
    <b v="1"/>
    <b v="0"/>
    <b v="1"/>
    <b v="1"/>
    <b v="0"/>
    <b v="0"/>
    <n v="0"/>
    <n v="0"/>
    <m/>
    <d v="2018-06-21T00:00:00"/>
    <n v="32127162"/>
    <d v="2018-06-21T00:00:00"/>
    <m/>
    <m/>
    <s v=""/>
    <b v="0"/>
    <m/>
    <m/>
    <d v="2018-06-21T00:00:00"/>
    <m/>
    <n v="791522"/>
    <b v="1"/>
    <m/>
    <d v="2018-06-21T00:00:00"/>
    <m/>
    <x v="0"/>
    <b v="1"/>
    <n v="46436584"/>
    <s v="Dominique"/>
    <s v="Smith"/>
    <s v="WellCare Health Plans"/>
    <s v=""/>
    <s v=""/>
    <s v="dominique.smith@wellcare.com"/>
    <s v=""/>
    <s v=""/>
    <s v=""/>
    <s v=""/>
    <s v=""/>
    <s v=""/>
    <s v=""/>
    <s v="WellCare Health Plans"/>
    <s v=""/>
    <s v=""/>
    <s v=""/>
    <s v=""/>
    <s v=""/>
    <s v=""/>
    <s v=""/>
    <s v=""/>
    <s v="371616Newsletter Recipient"/>
    <m/>
    <x v="0"/>
  </r>
  <r>
    <n v="44810248"/>
    <b v="0"/>
    <b v="0"/>
    <b v="0"/>
    <b v="1"/>
    <b v="0"/>
    <b v="1"/>
    <b v="1"/>
    <b v="0"/>
    <b v="0"/>
    <n v="0"/>
    <n v="0"/>
    <m/>
    <d v="2018-05-29T00:00:00"/>
    <n v="32127162"/>
    <d v="2018-04-26T00:00:00"/>
    <m/>
    <m/>
    <s v=""/>
    <b v="0"/>
    <m/>
    <m/>
    <d v="2018-04-26T00:00:00"/>
    <m/>
    <n v="791522"/>
    <b v="1"/>
    <m/>
    <d v="2018-04-26T00:00:00"/>
    <m/>
    <x v="0"/>
    <b v="1"/>
    <n v="44810248"/>
    <s v="LaTasha"/>
    <s v="Smith"/>
    <s v="Molina Healthcare of Illinois, Inc."/>
    <s v=""/>
    <s v=""/>
    <s v="latasha.smith@molinahealthcare.com"/>
    <s v=""/>
    <s v=""/>
    <s v=""/>
    <s v=""/>
    <s v=""/>
    <s v=""/>
    <s v=""/>
    <s v="Molina Healthcare of Illinois, Inc."/>
    <s v=""/>
    <s v=""/>
    <s v=""/>
    <s v=""/>
    <s v=""/>
    <s v=""/>
    <s v=""/>
    <s v=""/>
    <s v="371616Newsletter Recipient, 372297Operations Committee, 447857HFS Ops Workgroup"/>
    <m/>
    <x v="0"/>
  </r>
  <r>
    <n v="34514348"/>
    <b v="0"/>
    <b v="0"/>
    <b v="0"/>
    <b v="1"/>
    <b v="0"/>
    <b v="1"/>
    <b v="1"/>
    <b v="0"/>
    <b v="0"/>
    <n v="0"/>
    <n v="0"/>
    <m/>
    <d v="2018-05-29T00:00:00"/>
    <n v="32127162"/>
    <d v="2016-09-16T00:00:00"/>
    <m/>
    <m/>
    <s v=""/>
    <b v="0"/>
    <m/>
    <m/>
    <d v="2016-09-15T00:00:00"/>
    <m/>
    <n v="791522"/>
    <b v="1"/>
    <m/>
    <m/>
    <m/>
    <x v="0"/>
    <b v="1"/>
    <n v="34514348"/>
    <s v="Lisa"/>
    <s v="Smith"/>
    <s v="Humana"/>
    <s v=""/>
    <s v=""/>
    <s v="LSmith73@humana.com"/>
    <s v="630-794-5954"/>
    <s v=""/>
    <s v=""/>
    <s v=""/>
    <s v=""/>
    <s v=""/>
    <s v=""/>
    <s v=""/>
    <s v=""/>
    <s v=""/>
    <s v=""/>
    <s v=""/>
    <s v=""/>
    <s v=""/>
    <s v=""/>
    <s v=""/>
    <s v="371616Newsletter Recipient, 447857HFS Ops Workgroup"/>
    <m/>
    <x v="0"/>
  </r>
  <r>
    <n v="44603077"/>
    <b v="0"/>
    <b v="0"/>
    <b v="0"/>
    <b v="1"/>
    <b v="0"/>
    <b v="1"/>
    <b v="1"/>
    <b v="0"/>
    <b v="0"/>
    <n v="0"/>
    <n v="0"/>
    <m/>
    <d v="2018-05-29T00:00:00"/>
    <n v="32127162"/>
    <d v="2018-04-09T00:00:00"/>
    <m/>
    <m/>
    <s v=""/>
    <b v="0"/>
    <m/>
    <m/>
    <d v="2018-04-09T00:00:00"/>
    <m/>
    <n v="791522"/>
    <b v="1"/>
    <m/>
    <d v="2018-04-09T00:00:00"/>
    <m/>
    <x v="0"/>
    <b v="1"/>
    <n v="44603077"/>
    <s v="Mark"/>
    <s v="Smith"/>
    <s v="NextLevel Health"/>
    <s v=""/>
    <s v=""/>
    <s v="mark.smith@nlhpartners.com"/>
    <s v=""/>
    <s v=""/>
    <s v=""/>
    <s v=""/>
    <s v=""/>
    <s v=""/>
    <s v=""/>
    <s v=""/>
    <s v=""/>
    <s v=""/>
    <s v=""/>
    <s v=""/>
    <s v=""/>
    <s v=""/>
    <s v=""/>
    <s v=""/>
    <s v="371616Newsletter Recipient, 372297Operations Committee, 372298Operations Transportation Subcommittee, 443814Billing Working Group, 447857HFS Ops Workgroup"/>
    <m/>
    <x v="0"/>
  </r>
  <r>
    <n v="36686383"/>
    <b v="0"/>
    <b v="0"/>
    <b v="0"/>
    <b v="1"/>
    <b v="0"/>
    <b v="1"/>
    <b v="1"/>
    <b v="0"/>
    <b v="0"/>
    <n v="0"/>
    <n v="0"/>
    <m/>
    <d v="2018-01-29T00:00:00"/>
    <n v="32127162"/>
    <d v="2016-12-27T00:00:00"/>
    <m/>
    <m/>
    <s v=""/>
    <b v="0"/>
    <m/>
    <m/>
    <d v="2016-12-27T00:00:00"/>
    <m/>
    <n v="791522"/>
    <b v="1"/>
    <m/>
    <m/>
    <m/>
    <x v="0"/>
    <b v="1"/>
    <n v="36686383"/>
    <s v="Tamatha"/>
    <s v="Smith"/>
    <s v="BlueCross BlueShield of Illinois"/>
    <s v=""/>
    <s v=""/>
    <s v="Tamatha_Smith@bcbsil.com"/>
    <s v="312-653-7573"/>
    <s v=""/>
    <s v=""/>
    <s v=""/>
    <s v=""/>
    <s v=""/>
    <s v=""/>
    <s v=""/>
    <s v="Redetermination Point Person"/>
    <s v=""/>
    <s v=""/>
    <s v=""/>
    <s v=""/>
    <s v=""/>
    <s v=""/>
    <s v=""/>
    <s v="371616Newsletter Recipient, 372306Marketing Committee"/>
    <m/>
    <x v="0"/>
  </r>
  <r>
    <n v="44047250"/>
    <b v="0"/>
    <b v="0"/>
    <b v="0"/>
    <b v="1"/>
    <b v="0"/>
    <b v="1"/>
    <b v="1"/>
    <b v="0"/>
    <b v="0"/>
    <n v="0"/>
    <n v="0"/>
    <m/>
    <d v="2018-03-02T00:00:00"/>
    <n v="32127162"/>
    <d v="2018-03-02T00:00:00"/>
    <m/>
    <m/>
    <s v=""/>
    <b v="0"/>
    <m/>
    <m/>
    <d v="2018-03-02T00:00:00"/>
    <m/>
    <n v="791522"/>
    <b v="1"/>
    <m/>
    <d v="2018-03-02T00:00:00"/>
    <m/>
    <x v="0"/>
    <b v="1"/>
    <n v="44047250"/>
    <s v="Tammy"/>
    <s v="Smith White"/>
    <s v="Blue Cross Blue Shield of Illinois"/>
    <s v=""/>
    <s v=""/>
    <s v="tammy_p_smith@bcbsil.com"/>
    <s v=""/>
    <s v=""/>
    <s v=""/>
    <s v=""/>
    <s v=""/>
    <s v=""/>
    <s v=""/>
    <s v=""/>
    <s v=""/>
    <s v=""/>
    <s v=""/>
    <s v=""/>
    <s v=""/>
    <s v=""/>
    <s v=""/>
    <s v=""/>
    <s v="371616Newsletter Recipient"/>
    <m/>
    <x v="0"/>
  </r>
  <r>
    <n v="37822739"/>
    <b v="0"/>
    <b v="0"/>
    <b v="0"/>
    <b v="1"/>
    <b v="0"/>
    <b v="1"/>
    <b v="1"/>
    <b v="0"/>
    <b v="0"/>
    <n v="0"/>
    <n v="0"/>
    <m/>
    <d v="2017-02-24T00:00:00"/>
    <n v="32127162"/>
    <d v="2017-02-24T00:00:00"/>
    <m/>
    <m/>
    <s v=""/>
    <b v="0"/>
    <m/>
    <m/>
    <d v="2017-02-24T00:00:00"/>
    <m/>
    <n v="791522"/>
    <b v="1"/>
    <m/>
    <m/>
    <m/>
    <x v="0"/>
    <b v="1"/>
    <n v="37822739"/>
    <s v="Amber"/>
    <s v="Smock"/>
    <s v="Access Living"/>
    <s v=""/>
    <s v=""/>
    <s v="asmock@accessliving.org"/>
    <s v=""/>
    <s v=""/>
    <s v=""/>
    <s v=""/>
    <s v=""/>
    <s v=""/>
    <s v=""/>
    <s v=""/>
    <s v=""/>
    <s v=""/>
    <s v=""/>
    <s v=""/>
    <s v=""/>
    <s v=""/>
    <s v=""/>
    <s v=""/>
    <s v="371616Newsletter Recipient"/>
    <m/>
    <x v="0"/>
  </r>
  <r>
    <n v="44035714"/>
    <b v="0"/>
    <b v="0"/>
    <b v="0"/>
    <b v="1"/>
    <b v="0"/>
    <b v="1"/>
    <b v="1"/>
    <b v="0"/>
    <b v="0"/>
    <n v="0"/>
    <n v="0"/>
    <m/>
    <d v="2018-03-22T00:00:00"/>
    <n v="32127162"/>
    <d v="2018-03-02T00:00:00"/>
    <m/>
    <m/>
    <s v=""/>
    <b v="0"/>
    <m/>
    <m/>
    <d v="2018-03-02T00:00:00"/>
    <m/>
    <n v="791522"/>
    <b v="1"/>
    <m/>
    <d v="2018-03-02T00:00:00"/>
    <m/>
    <x v="0"/>
    <b v="1"/>
    <n v="44035714"/>
    <s v="Krista"/>
    <s v="Smothers"/>
    <s v="DentaQuest Central and Southern Illinois (Meridian)"/>
    <s v="IL Provider Relations"/>
    <s v=""/>
    <s v="krista.smothers@dentaquest.com"/>
    <s v="217.496.6364"/>
    <s v=""/>
    <s v=""/>
    <s v=""/>
    <s v=""/>
    <s v=""/>
    <s v=""/>
    <s v=""/>
    <s v=""/>
    <s v=""/>
    <s v=""/>
    <s v=""/>
    <s v=""/>
    <s v=""/>
    <s v=""/>
    <s v=""/>
    <s v="420926Dental - Contracts, 420927Dental - Claims &amp; Billing"/>
    <s v="10633525Contracts, 10633526Claims/Billing"/>
    <x v="0"/>
  </r>
  <r>
    <n v="37779488"/>
    <b v="0"/>
    <b v="0"/>
    <b v="0"/>
    <b v="1"/>
    <b v="0"/>
    <b v="1"/>
    <b v="1"/>
    <b v="0"/>
    <b v="0"/>
    <n v="0"/>
    <n v="0"/>
    <m/>
    <d v="2017-02-24T00:00:00"/>
    <n v="32127162"/>
    <d v="2017-02-21T00:00:00"/>
    <m/>
    <m/>
    <s v=""/>
    <b v="0"/>
    <m/>
    <m/>
    <d v="2017-02-20T00:00:00"/>
    <m/>
    <n v="791522"/>
    <b v="1"/>
    <m/>
    <m/>
    <m/>
    <x v="0"/>
    <b v="1"/>
    <n v="37779488"/>
    <s v="Keith"/>
    <s v="Sommer"/>
    <s v="Illinois General Assembly"/>
    <s v=""/>
    <s v="Representative Keith P. Sommer (R)_x000a_88th District_x000a__x000a_Springfield Office:_x000a_216-N Stratton Office Building_x000a_Springfield, IL   62706_x000a_(217) 782-0221_x000a_(217) 557-1098 FAX_x000a__x000a_District Office:_x000a_121 West Jefferson_x000a_Morton, IL  61550_x000a_(309) 263-9242_x000a_(309) 263-8187 FAX"/>
    <s v="sommer@mtco.com"/>
    <s v=""/>
    <s v=""/>
    <s v=""/>
    <s v=""/>
    <s v=""/>
    <s v=""/>
    <s v=""/>
    <s v=""/>
    <s v=""/>
    <s v=""/>
    <s v=""/>
    <s v=""/>
    <s v=""/>
    <s v=""/>
    <s v=""/>
    <s v=""/>
    <s v="371616Newsletter Recipient, 371627House of Representatives"/>
    <m/>
    <x v="0"/>
  </r>
  <r>
    <n v="37819937"/>
    <b v="0"/>
    <b v="0"/>
    <b v="0"/>
    <b v="1"/>
    <b v="0"/>
    <b v="1"/>
    <b v="1"/>
    <b v="0"/>
    <b v="0"/>
    <n v="0"/>
    <n v="0"/>
    <m/>
    <d v="2017-02-24T00:00:00"/>
    <n v="32127162"/>
    <d v="2017-02-24T00:00:00"/>
    <m/>
    <m/>
    <s v=""/>
    <b v="0"/>
    <m/>
    <m/>
    <d v="2017-02-24T00:00:00"/>
    <m/>
    <n v="791522"/>
    <b v="1"/>
    <m/>
    <m/>
    <m/>
    <x v="0"/>
    <b v="1"/>
    <n v="37819937"/>
    <s v="Jessica"/>
    <s v="Song"/>
    <s v="Humana"/>
    <s v=""/>
    <s v=""/>
    <s v="lsong@humana.com"/>
    <s v=""/>
    <s v=""/>
    <s v=""/>
    <s v=""/>
    <s v=""/>
    <s v=""/>
    <s v=""/>
    <s v=""/>
    <s v=""/>
    <s v=""/>
    <s v=""/>
    <s v=""/>
    <s v=""/>
    <s v=""/>
    <s v=""/>
    <s v=""/>
    <s v="371616Newsletter Recipient, 372294Finance Committee"/>
    <m/>
    <x v="0"/>
  </r>
  <r>
    <n v="34516079"/>
    <b v="0"/>
    <b v="0"/>
    <b v="0"/>
    <b v="1"/>
    <b v="0"/>
    <b v="1"/>
    <b v="1"/>
    <b v="0"/>
    <b v="0"/>
    <n v="0"/>
    <n v="0"/>
    <m/>
    <d v="2018-01-29T00:00:00"/>
    <n v="32127162"/>
    <d v="2016-09-16T00:00:00"/>
    <m/>
    <m/>
    <s v=""/>
    <b v="0"/>
    <m/>
    <m/>
    <d v="2016-09-15T00:00:00"/>
    <m/>
    <n v="791522"/>
    <b v="1"/>
    <m/>
    <m/>
    <m/>
    <x v="0"/>
    <b v="1"/>
    <n v="34516079"/>
    <s v="Ratna"/>
    <s v="Soni"/>
    <s v="Blue Cross Blue Shield of Illinois"/>
    <s v=""/>
    <s v=""/>
    <s v="Ratna_Soni@bcbsil.com"/>
    <s v="312-653-2317"/>
    <s v=""/>
    <s v=""/>
    <s v=""/>
    <s v=""/>
    <s v=""/>
    <s v=""/>
    <s v=""/>
    <s v=""/>
    <s v=""/>
    <s v=""/>
    <s v=""/>
    <s v=""/>
    <s v=""/>
    <s v=""/>
    <s v=""/>
    <s v="371616Newsletter Recipient"/>
    <m/>
    <x v="0"/>
  </r>
  <r>
    <n v="37779496"/>
    <b v="0"/>
    <b v="0"/>
    <b v="0"/>
    <b v="1"/>
    <b v="0"/>
    <b v="1"/>
    <b v="1"/>
    <b v="0"/>
    <b v="0"/>
    <n v="0"/>
    <n v="0"/>
    <m/>
    <d v="2017-02-21T00:00:00"/>
    <n v="32127162"/>
    <d v="2017-02-21T00:00:00"/>
    <m/>
    <m/>
    <s v=""/>
    <b v="0"/>
    <m/>
    <m/>
    <d v="2017-02-20T00:00:00"/>
    <m/>
    <n v="791522"/>
    <b v="1"/>
    <m/>
    <m/>
    <m/>
    <x v="0"/>
    <b v="1"/>
    <n v="37779496"/>
    <s v="Joe"/>
    <s v="Sosnowski"/>
    <s v="Illinois General Assembly"/>
    <s v=""/>
    <s v="Representative Joe Sosnowski (R)_x000a_69th District_x0009__x000a__x000a_Springfield Office:_x000a_200-2N Stratton Office Building_x000a_Springfield, IL   62706_x000a_(217) 782-0548_x000a_(217) 782-1141 FAX_x000a__x000a_District Office:_x000a_305 Amphitheater Drive_x000a_Rockford, IL  61107_x000a_(815) 547-3436_x000a_(815) 516-8434 FAX"/>
    <s v=""/>
    <s v=""/>
    <s v=""/>
    <s v=""/>
    <s v=""/>
    <s v=""/>
    <s v=""/>
    <s v=""/>
    <s v=""/>
    <s v=""/>
    <s v=""/>
    <s v=""/>
    <s v=""/>
    <s v=""/>
    <s v=""/>
    <s v=""/>
    <s v=""/>
    <s v="371616Newsletter Recipient, 371627House of Representatives"/>
    <m/>
    <x v="0"/>
  </r>
  <r>
    <n v="37779501"/>
    <b v="0"/>
    <b v="0"/>
    <b v="0"/>
    <b v="1"/>
    <b v="0"/>
    <b v="1"/>
    <b v="1"/>
    <b v="0"/>
    <b v="0"/>
    <n v="0"/>
    <n v="0"/>
    <m/>
    <d v="2017-02-24T00:00:00"/>
    <n v="32127162"/>
    <d v="2017-02-21T00:00:00"/>
    <m/>
    <m/>
    <s v=""/>
    <b v="0"/>
    <m/>
    <m/>
    <d v="2017-02-20T00:00:00"/>
    <m/>
    <n v="791522"/>
    <b v="1"/>
    <m/>
    <m/>
    <m/>
    <x v="0"/>
    <b v="1"/>
    <n v="37779501"/>
    <s v="Cynthia"/>
    <s v="Soto"/>
    <s v="Illinois General Assembly"/>
    <s v=""/>
    <s v="Representative Cynthia Soto (D)_x000a_4th District_x0009_ _x0009__x000a__x000a_Springfield Office:_x000a_288-S Stratton Office Building_x000a_Springfield, IL   62706_x000a_(217) 782-0150_x000a_(217) 557-7210 FAX_x000a__x000a_District Office:_x000a_1341 W. Grand Ave._x000a_Chicago, IL  60642_x000a_(773) 252-0402_x000a_(312) 829-3707 FAX_x000a__x000a_2511 W. Division St._x000a_Chicago, IL 60622_x000a_(773) 252-0402_x000a_(773) 342-3860 FAX"/>
    <s v="4repsoto@gmail.com"/>
    <s v=""/>
    <s v=""/>
    <s v=""/>
    <s v=""/>
    <s v=""/>
    <s v=""/>
    <s v=""/>
    <s v=""/>
    <s v=""/>
    <s v=""/>
    <s v=""/>
    <s v=""/>
    <s v=""/>
    <s v=""/>
    <s v=""/>
    <s v=""/>
    <s v="371616Newsletter Recipient, 371627House of Representatives"/>
    <m/>
    <x v="0"/>
  </r>
  <r>
    <n v="37819939"/>
    <b v="0"/>
    <b v="0"/>
    <b v="0"/>
    <b v="1"/>
    <b v="0"/>
    <b v="1"/>
    <b v="1"/>
    <b v="0"/>
    <b v="0"/>
    <n v="0"/>
    <n v="0"/>
    <m/>
    <d v="2018-06-26T00:00:00"/>
    <n v="32127162"/>
    <d v="2017-02-24T00:00:00"/>
    <m/>
    <m/>
    <s v=""/>
    <b v="0"/>
    <m/>
    <m/>
    <d v="2017-02-24T00:00:00"/>
    <m/>
    <n v="791522"/>
    <b v="1"/>
    <m/>
    <m/>
    <m/>
    <x v="0"/>
    <b v="1"/>
    <n v="37819939"/>
    <s v="Oli"/>
    <s v="Soto"/>
    <s v="Molina Healthcare of Illinois, Inc."/>
    <s v=""/>
    <s v=""/>
    <s v="Oli.Soto@MolinaHealthCare.com"/>
    <s v=""/>
    <s v=""/>
    <s v=""/>
    <s v=""/>
    <s v=""/>
    <s v=""/>
    <s v=""/>
    <s v=""/>
    <s v=""/>
    <s v=""/>
    <s v=""/>
    <s v=""/>
    <s v=""/>
    <s v=""/>
    <s v=""/>
    <s v=""/>
    <s v="371616Newsletter Recipient, 3767711115 Workgroup, 443813Discharge Planning"/>
    <m/>
    <x v="0"/>
  </r>
  <r>
    <n v="43498278"/>
    <b v="0"/>
    <b v="0"/>
    <b v="1"/>
    <b v="1"/>
    <b v="0"/>
    <b v="1"/>
    <b v="1"/>
    <b v="0"/>
    <b v="0"/>
    <n v="0"/>
    <n v="0"/>
    <m/>
    <m/>
    <m/>
    <d v="2018-01-30T00:00:00"/>
    <m/>
    <m/>
    <s v=""/>
    <b v="0"/>
    <m/>
    <m/>
    <d v="2018-01-29T00:00:00"/>
    <m/>
    <n v="791522"/>
    <b v="1"/>
    <m/>
    <d v="2018-01-30T00:00:00"/>
    <m/>
    <x v="0"/>
    <b v="1"/>
    <n v="43498278"/>
    <s v="Angie"/>
    <s v="Sowers"/>
    <s v="LifeLinks Mental Health"/>
    <s v=""/>
    <s v=""/>
    <s v="asowers@lifelinksinc.org"/>
    <s v=""/>
    <s v=""/>
    <s v=""/>
    <s v=""/>
    <s v=""/>
    <s v=""/>
    <s v=""/>
    <s v=""/>
    <s v=""/>
    <s v=""/>
    <s v=""/>
    <s v=""/>
    <s v=""/>
    <s v=""/>
    <s v=""/>
    <s v=""/>
    <s v="371616Newsletter Recipient"/>
    <m/>
    <x v="0"/>
  </r>
  <r>
    <n v="37779509"/>
    <b v="0"/>
    <b v="0"/>
    <b v="0"/>
    <b v="1"/>
    <b v="0"/>
    <b v="1"/>
    <b v="1"/>
    <b v="0"/>
    <b v="0"/>
    <n v="0"/>
    <n v="0"/>
    <m/>
    <d v="2017-02-24T00:00:00"/>
    <n v="32127162"/>
    <d v="2017-02-21T00:00:00"/>
    <m/>
    <m/>
    <s v=""/>
    <b v="0"/>
    <m/>
    <m/>
    <d v="2017-02-20T00:00:00"/>
    <m/>
    <n v="791522"/>
    <b v="1"/>
    <m/>
    <m/>
    <m/>
    <x v="0"/>
    <b v="1"/>
    <n v="37779509"/>
    <s v="Ryan"/>
    <s v="Spain"/>
    <s v="Illinois General Assembly"/>
    <s v=""/>
    <s v="Representative Ryan Spain (R)_x000a_73rd District _x0009__x000a__x000a_Springfield Office:_x000a_228-N Stratton Office Building_x000a_Springfield, IL   62706_x000a_(217) 782-8108_x000a__x000a_District Office:_x000a_5407 N. University St., Arbor Hall_x000a_Suite B_x000a_Peoria, IL  61614_x000a_(309) 690-7373_x000a_(309) 690-7375 FAX"/>
    <s v="spain@ilhousegop.org"/>
    <s v=""/>
    <s v=""/>
    <s v=""/>
    <s v=""/>
    <s v=""/>
    <s v=""/>
    <s v=""/>
    <s v=""/>
    <s v=""/>
    <s v=""/>
    <s v=""/>
    <s v=""/>
    <s v=""/>
    <s v=""/>
    <s v=""/>
    <s v=""/>
    <s v="371616Newsletter Recipient, 371627House of Representatives"/>
    <m/>
    <x v="0"/>
  </r>
  <r>
    <n v="37822785"/>
    <b v="0"/>
    <b v="0"/>
    <b v="0"/>
    <b v="1"/>
    <b v="0"/>
    <b v="1"/>
    <b v="1"/>
    <b v="0"/>
    <b v="0"/>
    <n v="0"/>
    <n v="0"/>
    <m/>
    <d v="2018-02-12T00:00:00"/>
    <n v="32127162"/>
    <d v="2017-02-24T00:00:00"/>
    <m/>
    <m/>
    <s v=""/>
    <b v="0"/>
    <m/>
    <m/>
    <d v="2017-02-24T00:00:00"/>
    <m/>
    <n v="791522"/>
    <b v="1"/>
    <m/>
    <m/>
    <m/>
    <x v="0"/>
    <b v="1"/>
    <n v="37822785"/>
    <s v="MacKenzie"/>
    <s v="Speer"/>
    <s v="Shriver"/>
    <s v=""/>
    <s v=""/>
    <s v="mackenziespeer@povertylaw.org"/>
    <s v=""/>
    <s v=""/>
    <s v=""/>
    <s v=""/>
    <s v=""/>
    <s v=""/>
    <s v=""/>
    <s v=""/>
    <s v=""/>
    <s v=""/>
    <s v=""/>
    <s v=""/>
    <s v=""/>
    <s v=""/>
    <s v=""/>
    <s v=""/>
    <s v="371616Newsletter Recipient"/>
    <m/>
    <x v="0"/>
  </r>
  <r>
    <n v="34514428"/>
    <b v="0"/>
    <b v="0"/>
    <b v="0"/>
    <b v="1"/>
    <b v="0"/>
    <b v="1"/>
    <b v="1"/>
    <b v="0"/>
    <b v="0"/>
    <n v="0"/>
    <n v="0"/>
    <m/>
    <d v="2018-05-09T00:00:00"/>
    <n v="32127162"/>
    <d v="2016-09-16T00:00:00"/>
    <m/>
    <m/>
    <s v=""/>
    <b v="0"/>
    <m/>
    <m/>
    <d v="2016-09-15T00:00:00"/>
    <m/>
    <n v="791522"/>
    <b v="1"/>
    <m/>
    <m/>
    <m/>
    <x v="0"/>
    <b v="1"/>
    <n v="34514428"/>
    <s v="Steven"/>
    <s v="Sproat"/>
    <s v="IlliniCare Health"/>
    <s v=""/>
    <s v="Director of Pharmacy"/>
    <s v="SSproat@illinicare.com"/>
    <s v="630.655.7952"/>
    <s v=""/>
    <s v=""/>
    <s v=""/>
    <s v=""/>
    <s v=""/>
    <s v=""/>
    <s v=""/>
    <s v=""/>
    <s v=""/>
    <s v=""/>
    <s v=""/>
    <s v=""/>
    <s v=""/>
    <s v=""/>
    <s v=""/>
    <s v="371616Newsletter Recipient, 372314Pharmacy Director, 420970Pharmacy/Pharmaceuticals - Contracts, 420971Pharmacy/Pharmaceuticals - Claims &amp; Billing, 420972Pharmacy/Pharmaceuticals - Care Coordination, 428788Pharmacy Director Committee"/>
    <s v="10633525Contracts, 10633526Claims/Billing, 10633527Care Coordination"/>
    <x v="0"/>
  </r>
  <r>
    <n v="42678205"/>
    <b v="0"/>
    <b v="0"/>
    <b v="0"/>
    <b v="1"/>
    <b v="0"/>
    <b v="1"/>
    <b v="1"/>
    <b v="0"/>
    <b v="0"/>
    <n v="0"/>
    <n v="0"/>
    <m/>
    <d v="2018-02-12T00:00:00"/>
    <n v="32127162"/>
    <d v="2017-11-17T00:00:00"/>
    <m/>
    <m/>
    <s v=""/>
    <b v="0"/>
    <m/>
    <m/>
    <d v="2017-11-17T00:00:00"/>
    <m/>
    <n v="791522"/>
    <b v="1"/>
    <m/>
    <d v="2017-11-17T00:00:00"/>
    <m/>
    <x v="0"/>
    <b v="1"/>
    <n v="42678205"/>
    <s v="Robin"/>
    <s v="Stacy"/>
    <s v="Harrisburg Medical Center"/>
    <s v=""/>
    <s v=""/>
    <s v="rstacy@harrisburgmc.com"/>
    <s v=""/>
    <s v=""/>
    <s v=""/>
    <s v=""/>
    <s v=""/>
    <s v=""/>
    <s v=""/>
    <s v="Harrisburg Medical Center"/>
    <s v=""/>
    <s v=""/>
    <s v=""/>
    <s v=""/>
    <s v=""/>
    <s v=""/>
    <s v=""/>
    <s v=""/>
    <s v="371616Newsletter Recipient"/>
    <m/>
    <x v="0"/>
  </r>
  <r>
    <n v="37770872"/>
    <b v="0"/>
    <b v="0"/>
    <b v="0"/>
    <b v="1"/>
    <b v="0"/>
    <b v="1"/>
    <b v="1"/>
    <b v="0"/>
    <b v="0"/>
    <n v="0"/>
    <n v="0"/>
    <m/>
    <d v="2017-02-24T00:00:00"/>
    <n v="32127162"/>
    <d v="2017-02-20T00:00:00"/>
    <m/>
    <m/>
    <s v=""/>
    <b v="0"/>
    <m/>
    <m/>
    <d v="2017-02-20T00:00:00"/>
    <m/>
    <n v="791522"/>
    <b v="1"/>
    <m/>
    <m/>
    <m/>
    <x v="0"/>
    <b v="1"/>
    <n v="37770872"/>
    <s v="Steve"/>
    <s v="Stadelman"/>
    <s v="Illinois General Assembly"/>
    <s v=""/>
    <s v="Senator Steve Stadelman (D)_x000a_34th District _x0009__x000a__x000a_Springfield Office:_x000a_Senator 34th District_x000a_121A Capitol Building_x000a_Springfield, IL   62706_x000a_(217) 782-8022_x000a_ _x000a_District Office:_x000a_State of Illinois Building_x000a_200 S. Wyman, Suite 301_x000a_Rockford, IL  61101_x000a_(815) 987-7557_x000a_(815) 987-7529 FAX"/>
    <s v=""/>
    <s v=""/>
    <s v=""/>
    <s v=""/>
    <s v=""/>
    <s v=""/>
    <s v="(217) 782-8022"/>
    <s v=""/>
    <s v=""/>
    <s v=""/>
    <s v=""/>
    <s v=""/>
    <s v=""/>
    <s v=""/>
    <s v=""/>
    <s v=""/>
    <s v=""/>
    <s v="371609Senator, 371616Newsletter Recipient"/>
    <m/>
    <x v="0"/>
  </r>
  <r>
    <n v="37819940"/>
    <b v="0"/>
    <b v="0"/>
    <b v="0"/>
    <b v="1"/>
    <b v="0"/>
    <b v="1"/>
    <b v="1"/>
    <b v="0"/>
    <b v="0"/>
    <n v="0"/>
    <n v="0"/>
    <m/>
    <d v="2017-02-24T00:00:00"/>
    <n v="32127162"/>
    <d v="2017-02-24T00:00:00"/>
    <m/>
    <m/>
    <s v=""/>
    <b v="0"/>
    <m/>
    <m/>
    <d v="2017-02-24T00:00:00"/>
    <m/>
    <n v="791522"/>
    <b v="1"/>
    <m/>
    <m/>
    <m/>
    <x v="0"/>
    <b v="1"/>
    <n v="37819940"/>
    <s v="Phil"/>
    <s v="Stalboerger"/>
    <s v="MTM"/>
    <s v=""/>
    <s v=""/>
    <s v="pstalboerger@mtm-inc.net"/>
    <s v=""/>
    <s v=""/>
    <s v=""/>
    <s v=""/>
    <s v=""/>
    <s v=""/>
    <s v=""/>
    <s v=""/>
    <s v=""/>
    <s v=""/>
    <s v=""/>
    <s v=""/>
    <s v=""/>
    <s v=""/>
    <s v=""/>
    <s v=""/>
    <s v="371616Newsletter Recipient, 372311Business Member"/>
    <m/>
    <x v="0"/>
  </r>
  <r>
    <n v="36549241"/>
    <b v="0"/>
    <b v="0"/>
    <b v="0"/>
    <b v="1"/>
    <b v="0"/>
    <b v="1"/>
    <b v="1"/>
    <b v="0"/>
    <b v="0"/>
    <n v="0"/>
    <n v="0"/>
    <m/>
    <d v="2018-05-18T00:00:00"/>
    <n v="32127162"/>
    <d v="2016-12-14T00:00:00"/>
    <m/>
    <m/>
    <s v=""/>
    <b v="0"/>
    <m/>
    <m/>
    <d v="2016-12-14T00:00:00"/>
    <m/>
    <n v="791522"/>
    <b v="1"/>
    <m/>
    <m/>
    <m/>
    <x v="0"/>
    <b v="1"/>
    <n v="36549241"/>
    <s v="Alma"/>
    <s v="Stanton"/>
    <s v="Meridian Health Plan"/>
    <s v=""/>
    <s v=""/>
    <s v="alma.stanton@mhplan.com"/>
    <s v="312.980.2347"/>
    <s v=""/>
    <s v=""/>
    <s v=""/>
    <s v=""/>
    <s v=""/>
    <s v=""/>
    <s v=""/>
    <s v=""/>
    <s v=""/>
    <s v=""/>
    <s v=""/>
    <s v=""/>
    <s v=""/>
    <s v=""/>
    <s v=""/>
    <s v="335736Provider Relations - Committee Members, 371616Newsletter Recipient, 420923Community Mental Health - Contracts, 420924Community Mental Health - Claims &amp; Billing, 420941Hospitals - Contracts, 420942Hospitals - Claims &amp; Billing, 420943Hospitals - Care Coordination, 420944Mental Health - Contracts, 420945Mental Health - Claims &amp; Billing, 420947Methadone Treatment - Contracts, 420948Methadone Treatment - Claims &amp; Billing, 420960Substance Use Disorder - Contracts, 420961Substance Use Disorder - Claims &amp; Billing, 420963Vision - Contracts, 420964Vision - Claims &amp; Billing, 420967Transportation - Contracts, 443814Billing Working Group"/>
    <s v="10633525Contracts, 10633526Claims/Billing, 10633527Care Coordination"/>
    <x v="0"/>
  </r>
  <r>
    <n v="37822717"/>
    <b v="0"/>
    <b v="0"/>
    <b v="0"/>
    <b v="1"/>
    <b v="0"/>
    <b v="1"/>
    <b v="1"/>
    <b v="0"/>
    <b v="0"/>
    <n v="0"/>
    <n v="0"/>
    <m/>
    <d v="2017-02-24T00:00:00"/>
    <n v="32127162"/>
    <d v="2017-02-24T00:00:00"/>
    <m/>
    <m/>
    <s v=""/>
    <b v="0"/>
    <m/>
    <m/>
    <d v="2017-02-24T00:00:00"/>
    <m/>
    <n v="791522"/>
    <b v="1"/>
    <m/>
    <m/>
    <m/>
    <x v="0"/>
    <b v="1"/>
    <n v="37822717"/>
    <s v="Margaret"/>
    <s v="Stapleton"/>
    <s v="Shriver"/>
    <s v=""/>
    <s v=""/>
    <s v="mstapleton@povertylaw.org"/>
    <s v=""/>
    <s v=""/>
    <s v=""/>
    <s v=""/>
    <s v=""/>
    <s v=""/>
    <s v=""/>
    <s v=""/>
    <s v=""/>
    <s v=""/>
    <s v=""/>
    <s v=""/>
    <s v=""/>
    <s v=""/>
    <s v=""/>
    <s v=""/>
    <s v="371616Newsletter Recipient"/>
    <m/>
    <x v="0"/>
  </r>
  <r>
    <n v="37770878"/>
    <b v="0"/>
    <b v="0"/>
    <b v="0"/>
    <b v="1"/>
    <b v="0"/>
    <b v="1"/>
    <b v="1"/>
    <b v="0"/>
    <b v="0"/>
    <n v="0"/>
    <n v="0"/>
    <m/>
    <d v="2017-02-24T00:00:00"/>
    <n v="32127162"/>
    <d v="2017-02-20T00:00:00"/>
    <m/>
    <m/>
    <s v=""/>
    <b v="0"/>
    <m/>
    <m/>
    <d v="2017-02-20T00:00:00"/>
    <m/>
    <n v="791522"/>
    <b v="1"/>
    <m/>
    <m/>
    <m/>
    <x v="0"/>
    <b v="1"/>
    <n v="37770878"/>
    <s v="Heather"/>
    <s v="Steans"/>
    <s v="Illinois General Assembly"/>
    <s v="Senator"/>
    <s v="Senator Heather A. Steans (D)_x000a_7th District_x000a__x000a_Springfield Office:_x000a_Senator 7th District_x000a_623 Capitol Building_x000a_Springfield, IL   62706_x000a_(217) 782-8492_x000a_(217) 782-1631 FAX_x000a_ _x000a_District Office:_x000a_5533 North Broadway_x000a_Chicago, IL  60640_x000a_(773) 769-1717_x000a_(773) 769-6901 FAX"/>
    <s v="HASTEANS@FIC-SFF.COM"/>
    <s v=""/>
    <s v=""/>
    <s v=""/>
    <s v=""/>
    <s v=""/>
    <s v="(217) 782-8492"/>
    <s v=""/>
    <s v=""/>
    <s v=""/>
    <s v=""/>
    <s v=""/>
    <s v=""/>
    <s v=""/>
    <s v=""/>
    <s v=""/>
    <s v=""/>
    <s v="371609Senator, 371616Newsletter Recipient"/>
    <m/>
    <x v="0"/>
  </r>
  <r>
    <n v="43668831"/>
    <b v="0"/>
    <b v="0"/>
    <b v="0"/>
    <b v="1"/>
    <b v="0"/>
    <b v="1"/>
    <b v="1"/>
    <b v="0"/>
    <b v="0"/>
    <n v="0"/>
    <n v="0"/>
    <m/>
    <d v="2018-03-16T00:00:00"/>
    <n v="32127162"/>
    <d v="2018-02-08T00:00:00"/>
    <m/>
    <m/>
    <s v=""/>
    <b v="0"/>
    <m/>
    <m/>
    <d v="2018-02-07T00:00:00"/>
    <m/>
    <n v="791522"/>
    <b v="1"/>
    <m/>
    <d v="2018-02-08T00:00:00"/>
    <m/>
    <x v="0"/>
    <b v="1"/>
    <n v="43668831"/>
    <s v="Anita"/>
    <s v="Stefanich"/>
    <s v="IlliniCare Health"/>
    <s v=""/>
    <s v=""/>
    <s v="anita.m.stefanich@centene.com"/>
    <s v=""/>
    <s v=""/>
    <s v=""/>
    <s v=""/>
    <s v=""/>
    <s v=""/>
    <s v=""/>
    <s v=""/>
    <s v=""/>
    <s v=""/>
    <s v=""/>
    <s v=""/>
    <s v=""/>
    <s v=""/>
    <s v=""/>
    <s v=""/>
    <s v="335742Chief Financial Officer, 371616Newsletter Recipient, 372294Finance Committee, 428250Hospital Assessment"/>
    <m/>
    <x v="0"/>
  </r>
  <r>
    <n v="42751428"/>
    <b v="0"/>
    <b v="0"/>
    <b v="1"/>
    <b v="1"/>
    <b v="0"/>
    <b v="1"/>
    <b v="1"/>
    <b v="0"/>
    <b v="0"/>
    <n v="0"/>
    <n v="0"/>
    <m/>
    <d v="2018-06-21T00:00:00"/>
    <n v="32127162"/>
    <d v="2017-11-27T00:00:00"/>
    <d v="2018-02-19T00:00:00"/>
    <m/>
    <s v=""/>
    <b v="0"/>
    <m/>
    <m/>
    <d v="2018-02-19T00:00:00"/>
    <m/>
    <n v="791522"/>
    <b v="1"/>
    <m/>
    <d v="2018-02-19T00:00:00"/>
    <m/>
    <x v="0"/>
    <b v="1"/>
    <n v="42751428"/>
    <s v="Cathy"/>
    <s v="Stein"/>
    <s v="St. Clair County Health Department"/>
    <s v="Health Systems and Services Manager"/>
    <s v="Manage staff who enter insurance data, VFC program manager, Lead grant manager. Fee for Services Manager, assist to manage daily WIC/FCM/IMM/LEAD heath department clinic for women and children and assist with eligibility."/>
    <s v="cathy.stein@co.st-clair.il.us"/>
    <s v="618.825.4430"/>
    <s v=""/>
    <s v=""/>
    <s v="cstein29@gmail.com"/>
    <s v=""/>
    <s v="618.233.6170"/>
    <s v="618.236.0821"/>
    <s v="St. Clair County Health Department"/>
    <s v="Health Systems and Services Nurse Manager"/>
    <s v="618.233.6170"/>
    <s v=""/>
    <s v=""/>
    <s v=""/>
    <s v=""/>
    <s v=""/>
    <s v=""/>
    <s v="371616Newsletter Recipient"/>
    <m/>
    <x v="0"/>
  </r>
  <r>
    <n v="37819945"/>
    <b v="0"/>
    <b v="0"/>
    <b v="0"/>
    <b v="1"/>
    <b v="0"/>
    <b v="1"/>
    <b v="1"/>
    <b v="0"/>
    <b v="0"/>
    <n v="0"/>
    <n v="0"/>
    <m/>
    <d v="2017-02-24T00:00:00"/>
    <n v="32127162"/>
    <d v="2017-02-24T00:00:00"/>
    <m/>
    <m/>
    <s v=""/>
    <b v="0"/>
    <m/>
    <m/>
    <d v="2017-02-24T00:00:00"/>
    <m/>
    <n v="791522"/>
    <b v="1"/>
    <m/>
    <m/>
    <m/>
    <x v="0"/>
    <b v="1"/>
    <n v="37819945"/>
    <s v="Sheri"/>
    <s v="Stein"/>
    <s v="FHN"/>
    <s v=""/>
    <s v=""/>
    <s v="sstein@myfhn.com"/>
    <s v=""/>
    <s v=""/>
    <s v=""/>
    <s v=""/>
    <s v=""/>
    <s v=""/>
    <s v=""/>
    <s v=""/>
    <s v=""/>
    <s v=""/>
    <s v=""/>
    <s v=""/>
    <s v=""/>
    <s v=""/>
    <s v=""/>
    <s v=""/>
    <s v="371616Newsletter Recipient"/>
    <m/>
    <x v="0"/>
  </r>
  <r>
    <n v="41512369"/>
    <b v="0"/>
    <b v="0"/>
    <b v="1"/>
    <b v="1"/>
    <b v="0"/>
    <b v="1"/>
    <b v="1"/>
    <b v="0"/>
    <b v="0"/>
    <n v="0"/>
    <n v="0"/>
    <m/>
    <d v="2017-09-23T00:00:00"/>
    <n v="32127162"/>
    <d v="2017-09-15T00:00:00"/>
    <d v="2017-09-15T00:00:00"/>
    <m/>
    <s v=""/>
    <b v="0"/>
    <m/>
    <m/>
    <d v="2017-09-22T00:00:00"/>
    <m/>
    <n v="791522"/>
    <b v="1"/>
    <m/>
    <d v="2017-09-23T00:00:00"/>
    <m/>
    <x v="0"/>
    <b v="1"/>
    <n v="41512369"/>
    <s v="Kimbrel"/>
    <s v="Stephen"/>
    <s v="Armor Medical Supply, LLC Chicago South"/>
    <s v="Managing Partner"/>
    <s v=""/>
    <s v="kd.stephen@armormedical.com"/>
    <s v="7083317111"/>
    <s v=""/>
    <s v=""/>
    <s v=""/>
    <s v=""/>
    <s v=""/>
    <s v=""/>
    <s v=""/>
    <s v=""/>
    <s v=""/>
    <s v=""/>
    <s v=""/>
    <s v=""/>
    <s v=""/>
    <s v=""/>
    <s v=""/>
    <s v="371616Newsletter Recipient"/>
    <m/>
    <x v="0"/>
  </r>
  <r>
    <n v="37819946"/>
    <b v="0"/>
    <b v="0"/>
    <b v="0"/>
    <b v="1"/>
    <b v="0"/>
    <b v="1"/>
    <b v="1"/>
    <b v="0"/>
    <b v="0"/>
    <n v="0"/>
    <n v="0"/>
    <m/>
    <d v="2017-02-24T00:00:00"/>
    <n v="32127162"/>
    <d v="2017-02-24T00:00:00"/>
    <m/>
    <m/>
    <s v=""/>
    <b v="0"/>
    <m/>
    <m/>
    <d v="2017-02-24T00:00:00"/>
    <m/>
    <n v="791522"/>
    <b v="1"/>
    <m/>
    <m/>
    <m/>
    <x v="0"/>
    <b v="1"/>
    <n v="37819946"/>
    <s v="Gay"/>
    <s v="Stephens"/>
    <s v="Harmony Health Plan of Illinois - A WellCare Company"/>
    <s v=""/>
    <s v=""/>
    <s v="Gay.Stephens@WellCare.com"/>
    <s v=""/>
    <s v=""/>
    <s v=""/>
    <s v=""/>
    <s v=""/>
    <s v=""/>
    <s v=""/>
    <s v=""/>
    <s v=""/>
    <s v=""/>
    <s v=""/>
    <s v=""/>
    <s v=""/>
    <s v=""/>
    <s v=""/>
    <s v=""/>
    <s v="371616Newsletter Recipient"/>
    <m/>
    <x v="0"/>
  </r>
  <r>
    <n v="37779512"/>
    <b v="0"/>
    <b v="0"/>
    <b v="0"/>
    <b v="1"/>
    <b v="0"/>
    <b v="1"/>
    <b v="1"/>
    <b v="0"/>
    <b v="0"/>
    <n v="0"/>
    <n v="0"/>
    <m/>
    <d v="2017-02-24T00:00:00"/>
    <n v="32127162"/>
    <d v="2017-02-21T00:00:00"/>
    <m/>
    <m/>
    <s v=""/>
    <b v="0"/>
    <m/>
    <m/>
    <d v="2017-02-20T00:00:00"/>
    <m/>
    <n v="791522"/>
    <b v="1"/>
    <m/>
    <m/>
    <m/>
    <x v="0"/>
    <b v="1"/>
    <n v="37779512"/>
    <s v="Brian"/>
    <s v="Stewart"/>
    <s v="Illinois General Assembly"/>
    <s v=""/>
    <s v="Representative Brian W. Stewart (R)_x000a_89th District _x0009__x000a__x000a_Springfield Office:_x000a_215-N Stratton Office Building_x000a_Springfield, IL   62706_x000a_(217) 782-8186_x000a_(217) 558-7016 FAX_x000a__x000a_District Office:_x000a_50 West Douglas Street_x000a_Stewart Centre Suite 1001_x000a_Freeport, IL  61032_x000a_(815) 232-0774_x000a_(815) 232-0777 FAX"/>
    <s v="repstewart@gmail.com"/>
    <s v=""/>
    <s v=""/>
    <s v=""/>
    <s v=""/>
    <s v=""/>
    <s v=""/>
    <s v=""/>
    <s v=""/>
    <s v=""/>
    <s v=""/>
    <s v=""/>
    <s v=""/>
    <s v=""/>
    <s v=""/>
    <s v=""/>
    <s v=""/>
    <s v="371616Newsletter Recipient, 371627House of Representatives"/>
    <m/>
    <x v="0"/>
  </r>
  <r>
    <n v="34020764"/>
    <b v="0"/>
    <b v="0"/>
    <b v="0"/>
    <b v="1"/>
    <b v="0"/>
    <b v="1"/>
    <b v="1"/>
    <b v="0"/>
    <b v="0"/>
    <n v="0"/>
    <n v="0"/>
    <m/>
    <d v="2017-12-06T00:00:00"/>
    <n v="32127162"/>
    <d v="2016-08-22T00:00:00"/>
    <m/>
    <m/>
    <s v=""/>
    <b v="0"/>
    <m/>
    <m/>
    <d v="2016-08-22T00:00:00"/>
    <m/>
    <n v="791522"/>
    <b v="1"/>
    <m/>
    <m/>
    <m/>
    <x v="0"/>
    <b v="1"/>
    <n v="34020764"/>
    <s v="Dr. Anita"/>
    <s v="Stewart"/>
    <s v="Blue Cross Blue Shield of Illinois"/>
    <s v=""/>
    <s v=""/>
    <s v="Anita_Stewart@bcbsil.com"/>
    <s v="312-653-0686"/>
    <s v=""/>
    <s v=""/>
    <s v=""/>
    <s v=""/>
    <s v=""/>
    <s v=""/>
    <s v=""/>
    <s v=""/>
    <s v=""/>
    <s v=""/>
    <s v=""/>
    <s v=""/>
    <s v=""/>
    <s v=""/>
    <s v=""/>
    <s v="335744Chief Medical Officer, 371616Newsletter Recipient, 372292Medical Directors"/>
    <m/>
    <x v="0"/>
  </r>
  <r>
    <n v="34094018"/>
    <b v="0"/>
    <b v="0"/>
    <b v="0"/>
    <b v="1"/>
    <b v="0"/>
    <b v="1"/>
    <b v="1"/>
    <b v="0"/>
    <b v="0"/>
    <n v="0"/>
    <n v="0"/>
    <m/>
    <d v="2018-05-08T00:00:00"/>
    <n v="32127162"/>
    <d v="2016-08-29T00:00:00"/>
    <m/>
    <m/>
    <s v=""/>
    <b v="0"/>
    <m/>
    <m/>
    <d v="2016-08-29T00:00:00"/>
    <m/>
    <n v="791522"/>
    <b v="1"/>
    <m/>
    <m/>
    <m/>
    <x v="0"/>
    <b v="1"/>
    <n v="34094018"/>
    <s v="Stacey"/>
    <s v="Stewart"/>
    <s v="Harmony Health Plan of Illinois - A WellCare Company"/>
    <s v=""/>
    <s v=""/>
    <s v="stacey.stewart@wellcare.com"/>
    <s v="312.516.4922"/>
    <s v=""/>
    <s v=""/>
    <s v=""/>
    <s v=""/>
    <s v=""/>
    <s v=""/>
    <s v="Harmony Health Plan of Illinois - A WellCare Company"/>
    <s v="Sr Dir, MLTC Operations"/>
    <s v=""/>
    <s v=""/>
    <s v=""/>
    <s v=""/>
    <s v=""/>
    <s v=""/>
    <s v=""/>
    <s v="335710LTC, 335736Provider Relations - Committee Members, 371616Newsletter Recipient"/>
    <s v="10633525Contracts, 10633526Claims/Billing, 10633527Care Coordination"/>
    <x v="0"/>
  </r>
  <r>
    <n v="37822724"/>
    <b v="0"/>
    <b v="0"/>
    <b v="0"/>
    <b v="1"/>
    <b v="0"/>
    <b v="1"/>
    <b v="1"/>
    <b v="0"/>
    <b v="0"/>
    <n v="0"/>
    <n v="0"/>
    <m/>
    <d v="2017-02-24T00:00:00"/>
    <n v="32127162"/>
    <d v="2017-02-24T00:00:00"/>
    <m/>
    <m/>
    <s v=""/>
    <b v="0"/>
    <m/>
    <m/>
    <d v="2017-02-24T00:00:00"/>
    <m/>
    <n v="791522"/>
    <b v="1"/>
    <m/>
    <m/>
    <m/>
    <x v="0"/>
    <b v="1"/>
    <n v="37822724"/>
    <s v="Paul"/>
    <s v="Stieber"/>
    <s v="HFS"/>
    <s v=""/>
    <s v=""/>
    <s v="paul.stieber@illinois.gov"/>
    <s v=""/>
    <s v=""/>
    <s v=""/>
    <s v=""/>
    <s v=""/>
    <s v=""/>
    <s v=""/>
    <s v=""/>
    <s v=""/>
    <s v=""/>
    <s v=""/>
    <s v=""/>
    <s v=""/>
    <s v=""/>
    <s v=""/>
    <s v=""/>
    <s v="371616Newsletter Recipient"/>
    <m/>
    <x v="0"/>
  </r>
  <r>
    <n v="44047156"/>
    <b v="0"/>
    <b v="0"/>
    <b v="0"/>
    <b v="1"/>
    <b v="0"/>
    <b v="1"/>
    <b v="1"/>
    <b v="0"/>
    <b v="0"/>
    <n v="0"/>
    <n v="0"/>
    <m/>
    <d v="2018-03-02T00:00:00"/>
    <n v="32127162"/>
    <d v="2018-03-02T00:00:00"/>
    <m/>
    <m/>
    <s v=""/>
    <b v="0"/>
    <m/>
    <m/>
    <d v="2018-03-02T00:00:00"/>
    <m/>
    <n v="791522"/>
    <b v="1"/>
    <m/>
    <d v="2018-03-02T00:00:00"/>
    <m/>
    <x v="0"/>
    <b v="1"/>
    <n v="44047156"/>
    <s v="Samantha"/>
    <s v="Stiles"/>
    <s v="Fox Valley Older Adults"/>
    <s v=""/>
    <s v=""/>
    <s v="sstiles@fvoas.org"/>
    <s v=""/>
    <s v=""/>
    <s v=""/>
    <s v=""/>
    <s v=""/>
    <s v=""/>
    <s v=""/>
    <s v=""/>
    <s v=""/>
    <s v=""/>
    <s v=""/>
    <s v=""/>
    <s v=""/>
    <s v=""/>
    <s v=""/>
    <s v=""/>
    <s v="371616Newsletter Recipient"/>
    <m/>
    <x v="0"/>
  </r>
  <r>
    <n v="34087278"/>
    <b v="0"/>
    <b v="0"/>
    <b v="0"/>
    <b v="1"/>
    <b v="0"/>
    <b v="1"/>
    <b v="1"/>
    <b v="0"/>
    <b v="0"/>
    <n v="0"/>
    <n v="0"/>
    <m/>
    <d v="2018-04-24T00:00:00"/>
    <n v="32127162"/>
    <d v="2016-08-29T00:00:00"/>
    <m/>
    <m/>
    <s v=""/>
    <b v="0"/>
    <m/>
    <m/>
    <d v="2016-08-29T00:00:00"/>
    <m/>
    <n v="791522"/>
    <b v="1"/>
    <m/>
    <m/>
    <m/>
    <x v="0"/>
    <b v="1"/>
    <n v="34087278"/>
    <s v="Michael"/>
    <s v="Stines"/>
    <s v="Meridian Health Plan"/>
    <s v=""/>
    <s v=""/>
    <s v="Michael.Stines@mhplan.com"/>
    <s v="313-324-3746"/>
    <s v=""/>
    <s v=""/>
    <s v=""/>
    <s v=""/>
    <s v=""/>
    <s v=""/>
    <s v=""/>
    <s v=""/>
    <s v=""/>
    <s v=""/>
    <s v=""/>
    <s v=""/>
    <s v=""/>
    <s v=""/>
    <s v=""/>
    <s v="350522Compliance Officer, 371616Newsletter Recipient, 372294Finance Committee, 441580Compliance Committee"/>
    <m/>
    <x v="0"/>
  </r>
  <r>
    <n v="44047451"/>
    <b v="0"/>
    <b v="0"/>
    <b v="0"/>
    <b v="1"/>
    <b v="0"/>
    <b v="1"/>
    <b v="1"/>
    <b v="0"/>
    <b v="0"/>
    <n v="0"/>
    <n v="0"/>
    <m/>
    <d v="2018-03-02T00:00:00"/>
    <n v="32127162"/>
    <d v="2018-03-02T00:00:00"/>
    <m/>
    <m/>
    <s v=""/>
    <b v="0"/>
    <m/>
    <m/>
    <d v="2018-03-02T00:00:00"/>
    <m/>
    <n v="791522"/>
    <b v="1"/>
    <m/>
    <d v="2018-03-02T00:00:00"/>
    <m/>
    <x v="0"/>
    <b v="1"/>
    <n v="44047451"/>
    <s v="Jill"/>
    <s v="Stoops"/>
    <s v="SCDPH"/>
    <s v=""/>
    <s v=""/>
    <s v="jill.stoops@co.sangmaon.il.us"/>
    <s v=""/>
    <s v=""/>
    <s v=""/>
    <s v=""/>
    <s v=""/>
    <s v=""/>
    <s v=""/>
    <s v=""/>
    <s v=""/>
    <s v=""/>
    <s v=""/>
    <s v=""/>
    <s v=""/>
    <s v=""/>
    <s v=""/>
    <s v=""/>
    <s v="371616Newsletter Recipient"/>
    <m/>
    <x v="0"/>
  </r>
  <r>
    <n v="37822757"/>
    <b v="0"/>
    <b v="0"/>
    <b v="0"/>
    <b v="1"/>
    <b v="0"/>
    <b v="1"/>
    <b v="1"/>
    <b v="0"/>
    <b v="0"/>
    <n v="0"/>
    <n v="0"/>
    <m/>
    <d v="2017-02-24T00:00:00"/>
    <n v="32127162"/>
    <d v="2017-02-24T00:00:00"/>
    <m/>
    <m/>
    <s v=""/>
    <b v="0"/>
    <m/>
    <m/>
    <d v="2017-02-24T00:00:00"/>
    <m/>
    <n v="791522"/>
    <b v="1"/>
    <m/>
    <m/>
    <m/>
    <x v="0"/>
    <b v="1"/>
    <n v="37822757"/>
    <s v="Janet"/>
    <s v="Stover"/>
    <s v="IARF"/>
    <s v=""/>
    <s v=""/>
    <s v="jstover@iarf.org"/>
    <s v=""/>
    <s v=""/>
    <s v=""/>
    <s v=""/>
    <s v=""/>
    <s v=""/>
    <s v=""/>
    <s v=""/>
    <s v=""/>
    <s v=""/>
    <s v=""/>
    <s v=""/>
    <s v=""/>
    <s v=""/>
    <s v=""/>
    <s v=""/>
    <s v="371616Newsletter Recipient"/>
    <m/>
    <x v="0"/>
  </r>
  <r>
    <n v="43669398"/>
    <b v="0"/>
    <b v="0"/>
    <b v="0"/>
    <b v="1"/>
    <b v="0"/>
    <b v="1"/>
    <b v="1"/>
    <b v="0"/>
    <b v="0"/>
    <n v="0"/>
    <n v="0"/>
    <m/>
    <d v="2018-02-08T00:00:00"/>
    <n v="32127162"/>
    <d v="2018-02-08T00:00:00"/>
    <m/>
    <m/>
    <s v=""/>
    <b v="0"/>
    <m/>
    <m/>
    <d v="2018-02-07T00:00:00"/>
    <m/>
    <n v="791522"/>
    <b v="1"/>
    <m/>
    <d v="2018-02-08T00:00:00"/>
    <m/>
    <x v="0"/>
    <b v="1"/>
    <n v="43669398"/>
    <s v="Mary"/>
    <s v="Strasser"/>
    <s v="IlliniCare Health"/>
    <s v=""/>
    <s v=""/>
    <s v="mary.d.strasser@illinicare.com"/>
    <s v=""/>
    <s v=""/>
    <s v=""/>
    <s v=""/>
    <s v=""/>
    <s v=""/>
    <s v=""/>
    <s v=""/>
    <s v=""/>
    <s v=""/>
    <s v=""/>
    <s v=""/>
    <s v=""/>
    <s v=""/>
    <s v=""/>
    <s v=""/>
    <s v="335736Provider Relations - Committee Members, 371616Newsletter Recipient"/>
    <m/>
    <x v="0"/>
  </r>
  <r>
    <n v="37779565"/>
    <b v="0"/>
    <b v="0"/>
    <b v="0"/>
    <b v="1"/>
    <b v="0"/>
    <b v="1"/>
    <b v="1"/>
    <b v="0"/>
    <b v="0"/>
    <n v="0"/>
    <n v="0"/>
    <m/>
    <d v="2017-02-24T00:00:00"/>
    <n v="32127162"/>
    <d v="2017-02-21T00:00:00"/>
    <m/>
    <m/>
    <s v=""/>
    <b v="0"/>
    <m/>
    <m/>
    <d v="2017-02-20T00:00:00"/>
    <m/>
    <n v="791522"/>
    <b v="1"/>
    <m/>
    <m/>
    <m/>
    <x v="0"/>
    <b v="1"/>
    <n v="37779565"/>
    <s v="Juliana"/>
    <s v="Stratton"/>
    <s v="Illinois General Assembly"/>
    <s v=""/>
    <s v="Representative Juliana Stratton (D)_x000a_5th District_x0009_ _x0009__x000a__x000a_Springfield Office:_x000a_258-W Stratton Office Building_x000a_Springfield, IL   62706_x000a_(217) 782-4535_x000a__x000a_District Office:_x000a_2907 S. Wabash_x000a_Suite 100B_x000a_Chicago, IL  60616_x000a_(312) 291-9443"/>
    <s v="repstratton5@gmail.com"/>
    <s v=""/>
    <s v=""/>
    <s v=""/>
    <s v=""/>
    <s v=""/>
    <s v=""/>
    <s v=""/>
    <s v=""/>
    <s v=""/>
    <s v=""/>
    <s v=""/>
    <s v=""/>
    <s v=""/>
    <s v=""/>
    <s v=""/>
    <s v=""/>
    <s v="371616Newsletter Recipient, 371627House of Representatives"/>
    <m/>
    <x v="0"/>
  </r>
  <r>
    <n v="37779684"/>
    <b v="0"/>
    <b v="0"/>
    <b v="0"/>
    <b v="1"/>
    <b v="0"/>
    <b v="1"/>
    <b v="1"/>
    <b v="0"/>
    <b v="0"/>
    <n v="0"/>
    <n v="0"/>
    <m/>
    <d v="2017-02-21T00:00:00"/>
    <n v="32127162"/>
    <d v="2017-02-21T00:00:00"/>
    <m/>
    <m/>
    <s v=""/>
    <b v="0"/>
    <m/>
    <m/>
    <d v="2017-02-20T00:00:00"/>
    <m/>
    <n v="791522"/>
    <b v="1"/>
    <m/>
    <m/>
    <m/>
    <x v="0"/>
    <b v="1"/>
    <n v="37779684"/>
    <s v="Katie"/>
    <s v="Stuart"/>
    <s v="Illinois General Assembly"/>
    <s v=""/>
    <s v="Representative Katie Stuart (D)_x000a_112th District_x0009_ _x0009__x000a__x000a_Springfield Office:_x000a_250-W Stratton Office Building_x000a_Springfield, IL   62706_x000a_(217) 782-8018"/>
    <s v=""/>
    <s v=""/>
    <s v=""/>
    <s v=""/>
    <s v=""/>
    <s v=""/>
    <s v=""/>
    <s v=""/>
    <s v=""/>
    <s v=""/>
    <s v=""/>
    <s v=""/>
    <s v=""/>
    <s v=""/>
    <s v=""/>
    <s v=""/>
    <s v=""/>
    <s v="371616Newsletter Recipient, 371627House of Representatives"/>
    <m/>
    <x v="0"/>
  </r>
  <r>
    <n v="37819951"/>
    <b v="0"/>
    <b v="0"/>
    <b v="0"/>
    <b v="1"/>
    <b v="0"/>
    <b v="1"/>
    <b v="1"/>
    <b v="0"/>
    <b v="0"/>
    <n v="0"/>
    <n v="0"/>
    <m/>
    <d v="2017-02-24T00:00:00"/>
    <n v="32127162"/>
    <d v="2017-02-24T00:00:00"/>
    <m/>
    <m/>
    <s v=""/>
    <b v="0"/>
    <m/>
    <m/>
    <d v="2017-02-24T00:00:00"/>
    <m/>
    <n v="791522"/>
    <b v="1"/>
    <m/>
    <m/>
    <m/>
    <x v="0"/>
    <b v="1"/>
    <n v="37819951"/>
    <s v="Dave"/>
    <s v="Sullivan"/>
    <s v="Molina Healthcare of Illinois, Inc."/>
    <s v=""/>
    <s v=""/>
    <s v="davesullivan6891@yahoo.com"/>
    <s v=""/>
    <s v=""/>
    <s v=""/>
    <s v=""/>
    <s v=""/>
    <s v=""/>
    <s v=""/>
    <s v=""/>
    <s v=""/>
    <s v=""/>
    <s v=""/>
    <s v=""/>
    <s v=""/>
    <s v=""/>
    <s v=""/>
    <s v=""/>
    <s v="371616Newsletter Recipient, 372296Legislative Committee"/>
    <m/>
    <x v="0"/>
  </r>
  <r>
    <n v="34093982"/>
    <b v="0"/>
    <b v="0"/>
    <b v="0"/>
    <b v="1"/>
    <b v="0"/>
    <b v="1"/>
    <b v="1"/>
    <b v="0"/>
    <b v="0"/>
    <n v="0"/>
    <n v="0"/>
    <m/>
    <d v="2017-07-10T00:00:00"/>
    <n v="32127162"/>
    <d v="2016-08-29T00:00:00"/>
    <m/>
    <m/>
    <s v=""/>
    <b v="0"/>
    <m/>
    <m/>
    <d v="2016-08-29T00:00:00"/>
    <m/>
    <n v="791522"/>
    <b v="1"/>
    <m/>
    <m/>
    <m/>
    <x v="0"/>
    <b v="1"/>
    <n v="34093982"/>
    <s v="Nicole"/>
    <s v="Sunder"/>
    <s v="Aetna Better Health"/>
    <s v=""/>
    <s v="Primary Manager, Clinical Health Services"/>
    <s v="SunderN@aetna.com"/>
    <s v="312-821-0487"/>
    <s v=""/>
    <s v=""/>
    <s v=""/>
    <s v=""/>
    <s v=""/>
    <s v=""/>
    <s v=""/>
    <s v=""/>
    <s v=""/>
    <s v=""/>
    <s v=""/>
    <s v=""/>
    <s v=""/>
    <s v=""/>
    <s v=""/>
    <s v="371616Newsletter Recipient"/>
    <m/>
    <x v="0"/>
  </r>
  <r>
    <n v="34022329"/>
    <b v="0"/>
    <b v="0"/>
    <b v="1"/>
    <b v="1"/>
    <b v="0"/>
    <b v="1"/>
    <b v="1"/>
    <b v="0"/>
    <b v="0"/>
    <n v="0"/>
    <n v="0"/>
    <m/>
    <d v="2018-05-29T00:00:00"/>
    <n v="32127162"/>
    <d v="2016-08-22T00:00:00"/>
    <m/>
    <m/>
    <s v=""/>
    <b v="0"/>
    <m/>
    <m/>
    <d v="2016-08-22T00:00:00"/>
    <m/>
    <n v="791522"/>
    <b v="1"/>
    <m/>
    <m/>
    <m/>
    <x v="0"/>
    <b v="1"/>
    <n v="34022329"/>
    <s v="Mikal"/>
    <s v="Sutton"/>
    <s v="Blue Cross Blue Shield of Illinois"/>
    <s v=""/>
    <s v="Illinois Director Medicaid Policy"/>
    <s v="mikal_l_sutton@bcbsil.com"/>
    <s v="217-691-6496"/>
    <s v=""/>
    <s v=""/>
    <s v=""/>
    <s v="217-691-6496"/>
    <s v="217.757.8044"/>
    <s v=""/>
    <s v="Blue Cross Blue Shield of Illinois"/>
    <s v="Illinois Director Medicaid Policy"/>
    <s v=""/>
    <s v=""/>
    <s v=""/>
    <s v=""/>
    <s v=""/>
    <s v=""/>
    <s v=""/>
    <s v="335736Provider Relations - Committee Members, 335747Government Relations, 371616Newsletter Recipient, 372293Quality Committee, 372294Finance Committee, 372295Board of Directors/General Distribution List, 372296Legislative Committee, 372297Operations Committee, 372306Marketing Committee, 3767711115 Workgroup, 420911IAMHP Leadership, 428250Hospital Assessment, 428788Pharmacy Director Committee, 441580Compliance Committee, 447857HFS Ops Workgroup"/>
    <m/>
    <x v="0"/>
  </r>
  <r>
    <n v="37779689"/>
    <b v="0"/>
    <b v="0"/>
    <b v="0"/>
    <b v="1"/>
    <b v="0"/>
    <b v="1"/>
    <b v="1"/>
    <b v="0"/>
    <b v="0"/>
    <n v="0"/>
    <n v="0"/>
    <m/>
    <d v="2017-02-24T00:00:00"/>
    <n v="32127162"/>
    <d v="2017-02-21T00:00:00"/>
    <m/>
    <m/>
    <s v=""/>
    <b v="0"/>
    <m/>
    <m/>
    <d v="2017-02-20T00:00:00"/>
    <m/>
    <n v="791522"/>
    <b v="1"/>
    <m/>
    <m/>
    <m/>
    <x v="0"/>
    <b v="1"/>
    <n v="37779689"/>
    <s v="Daniel"/>
    <s v="Swanson"/>
    <s v="Illinois General Assembly"/>
    <s v=""/>
    <s v="Representative Daniel Swanson (R)_x000a_74th District_x0009_ _x0009__x000a__x000a_Springfield Office:_x000a_240-W Stratton Office Building_x000a_Springfield, IL   62706_x000a_(217) 782-8032_x000a__x000a_District Office:_x000a_536 Oxford Ave._x000a_Suite D_x000a_Woodhull, IL  61490_x000a_(309) 334-7474_x000a_(309) 334-8000 FAX"/>
    <s v="swanson@ilhousegop.org"/>
    <s v=""/>
    <s v=""/>
    <s v=""/>
    <s v=""/>
    <s v=""/>
    <s v=""/>
    <s v=""/>
    <s v=""/>
    <s v=""/>
    <s v=""/>
    <s v=""/>
    <s v=""/>
    <s v=""/>
    <s v=""/>
    <s v=""/>
    <s v=""/>
    <s v="371616Newsletter Recipient, 371627House of Representatives"/>
    <m/>
    <x v="0"/>
  </r>
  <r>
    <n v="43744572"/>
    <b v="0"/>
    <b v="0"/>
    <b v="0"/>
    <b v="1"/>
    <b v="0"/>
    <b v="1"/>
    <b v="1"/>
    <b v="0"/>
    <b v="0"/>
    <n v="0"/>
    <n v="0"/>
    <m/>
    <d v="2018-02-13T00:00:00"/>
    <n v="32127162"/>
    <d v="2018-02-13T00:00:00"/>
    <m/>
    <m/>
    <s v=""/>
    <b v="0"/>
    <m/>
    <m/>
    <d v="2018-02-13T00:00:00"/>
    <m/>
    <n v="791522"/>
    <b v="1"/>
    <m/>
    <d v="2018-02-13T00:00:00"/>
    <m/>
    <x v="0"/>
    <b v="1"/>
    <n v="43744572"/>
    <s v="Cheri"/>
    <s v="Swinford"/>
    <s v="Help at Home, LLC"/>
    <s v=""/>
    <s v=""/>
    <s v="cswinford@helpathome.com"/>
    <s v=""/>
    <s v=""/>
    <s v=""/>
    <s v=""/>
    <s v=""/>
    <s v=""/>
    <s v=""/>
    <s v=""/>
    <s v=""/>
    <s v=""/>
    <s v=""/>
    <s v=""/>
    <s v=""/>
    <s v=""/>
    <s v=""/>
    <s v=""/>
    <s v="371616Newsletter Recipient"/>
    <m/>
    <x v="0"/>
  </r>
  <r>
    <n v="37770885"/>
    <b v="0"/>
    <b v="0"/>
    <b v="0"/>
    <b v="1"/>
    <b v="0"/>
    <b v="1"/>
    <b v="1"/>
    <b v="0"/>
    <b v="0"/>
    <n v="0"/>
    <n v="0"/>
    <m/>
    <d v="2017-02-24T00:00:00"/>
    <n v="32127162"/>
    <d v="2017-02-20T00:00:00"/>
    <m/>
    <m/>
    <s v=""/>
    <b v="0"/>
    <m/>
    <m/>
    <d v="2017-02-20T00:00:00"/>
    <m/>
    <n v="791522"/>
    <b v="1"/>
    <m/>
    <m/>
    <m/>
    <x v="0"/>
    <b v="1"/>
    <n v="37770885"/>
    <s v="Dave"/>
    <s v="Syverson"/>
    <s v="Illinois General Assembly"/>
    <s v="Senator"/>
    <s v="Senator Dave Syverson (R)_x000a_35th District_x000a_Assistant Republican Leader_x0009_ _x0009__x000a__x000a_Springfield Office:_x000a_Senator 35th District_x000a_108A Capitol Building_x000a_Springfield, IL   62706_x000a_(217) 782-5413_x000a_(217) 782-4243 FAX_x000a_ _x000a_District Office:_x000a_State of Illinois Building_x000a_200 S. Wyman, Suite 302_x000a_Rockford, IL  61101_x000a_(815) 987-7555_x000a_(815) 987-7563 FAX"/>
    <s v="info@senatordavesyverson.com"/>
    <s v=""/>
    <s v=""/>
    <s v=""/>
    <s v=""/>
    <s v=""/>
    <s v="(217) 782-5413"/>
    <s v=""/>
    <s v=""/>
    <s v=""/>
    <s v=""/>
    <s v=""/>
    <s v=""/>
    <s v=""/>
    <s v=""/>
    <s v=""/>
    <s v=""/>
    <s v="371609Senator, 371616Newsletter Recipient"/>
    <m/>
    <x v="0"/>
  </r>
  <r>
    <n v="40838643"/>
    <b v="0"/>
    <b v="0"/>
    <b v="0"/>
    <b v="1"/>
    <b v="0"/>
    <b v="1"/>
    <b v="1"/>
    <b v="0"/>
    <b v="0"/>
    <n v="0"/>
    <n v="0"/>
    <m/>
    <d v="2018-02-12T00:00:00"/>
    <n v="32127162"/>
    <d v="2017-08-01T00:00:00"/>
    <m/>
    <m/>
    <s v=""/>
    <b v="0"/>
    <m/>
    <m/>
    <d v="2017-08-01T00:00:00"/>
    <m/>
    <n v="791522"/>
    <b v="1"/>
    <m/>
    <m/>
    <m/>
    <x v="0"/>
    <b v="1"/>
    <n v="40838643"/>
    <s v="Kaylan"/>
    <s v="Szafranski"/>
    <s v="EverThrive Illinois"/>
    <s v=""/>
    <s v=""/>
    <s v="kszfranski@everthriveil.org"/>
    <s v=""/>
    <s v=""/>
    <s v=""/>
    <s v=""/>
    <s v=""/>
    <s v=""/>
    <s v=""/>
    <s v=""/>
    <s v=""/>
    <s v=""/>
    <s v=""/>
    <s v=""/>
    <s v=""/>
    <s v=""/>
    <s v=""/>
    <s v=""/>
    <s v="371616Newsletter Recipient"/>
    <m/>
    <x v="0"/>
  </r>
  <r>
    <n v="37819956"/>
    <b v="0"/>
    <b v="0"/>
    <b v="0"/>
    <b v="1"/>
    <b v="0"/>
    <b v="1"/>
    <b v="1"/>
    <b v="0"/>
    <b v="0"/>
    <n v="0"/>
    <n v="0"/>
    <m/>
    <d v="2017-02-24T00:00:00"/>
    <n v="32127162"/>
    <d v="2017-02-24T00:00:00"/>
    <m/>
    <m/>
    <s v=""/>
    <b v="0"/>
    <m/>
    <m/>
    <d v="2017-02-24T00:00:00"/>
    <m/>
    <n v="791522"/>
    <b v="1"/>
    <m/>
    <m/>
    <m/>
    <x v="0"/>
    <b v="1"/>
    <n v="37819956"/>
    <s v="Patrick"/>
    <s v="Szydlowski"/>
    <s v="Humana"/>
    <s v=""/>
    <s v=""/>
    <s v="pszydlowski@humana.com"/>
    <s v=""/>
    <s v=""/>
    <s v=""/>
    <s v=""/>
    <s v=""/>
    <s v=""/>
    <s v=""/>
    <s v=""/>
    <s v=""/>
    <s v=""/>
    <s v=""/>
    <s v=""/>
    <s v=""/>
    <s v=""/>
    <s v=""/>
    <s v=""/>
    <s v="371616Newsletter Recipient"/>
    <m/>
    <x v="0"/>
  </r>
  <r>
    <n v="37779757"/>
    <b v="0"/>
    <b v="0"/>
    <b v="0"/>
    <b v="1"/>
    <b v="0"/>
    <b v="1"/>
    <b v="1"/>
    <b v="0"/>
    <b v="0"/>
    <n v="0"/>
    <n v="0"/>
    <m/>
    <d v="2017-02-24T00:00:00"/>
    <n v="32127162"/>
    <d v="2017-02-21T00:00:00"/>
    <m/>
    <m/>
    <s v=""/>
    <b v="0"/>
    <m/>
    <m/>
    <d v="2017-02-20T00:00:00"/>
    <m/>
    <n v="791522"/>
    <b v="1"/>
    <m/>
    <m/>
    <m/>
    <x v="0"/>
    <b v="1"/>
    <n v="37779757"/>
    <s v="Silvana"/>
    <s v="Tabares"/>
    <s v="Illinois General Assembly"/>
    <s v=""/>
    <s v="Representative Silvana Tabares (D)_x000a_21st District_x0009_ _x0009__x000a__x000a_Springfield Office:_x000a_247-E Stratton Office Building_x000a_Springfield, IL   62706_x000a_(217) 782-7752_x000a_(217) 524-0450 FAX_x000a__x000a_District Office:_x000a_2900 W. 25th St., Storefront_x000a_Chicago, IL  60623_x000a_(773) 522-1315"/>
    <s v="rep.tabares@gmail.com"/>
    <s v=""/>
    <s v=""/>
    <s v=""/>
    <s v=""/>
    <s v=""/>
    <s v=""/>
    <s v=""/>
    <s v=""/>
    <s v=""/>
    <s v=""/>
    <s v=""/>
    <s v=""/>
    <s v=""/>
    <s v=""/>
    <s v=""/>
    <s v=""/>
    <s v="371616Newsletter Recipient, 371627House of Representatives"/>
    <m/>
    <x v="0"/>
  </r>
  <r>
    <n v="36549232"/>
    <b v="0"/>
    <b v="0"/>
    <b v="0"/>
    <b v="1"/>
    <b v="0"/>
    <b v="1"/>
    <b v="1"/>
    <b v="0"/>
    <b v="0"/>
    <n v="0"/>
    <n v="0"/>
    <m/>
    <d v="2018-05-29T00:00:00"/>
    <n v="32127162"/>
    <d v="2016-12-14T00:00:00"/>
    <m/>
    <m/>
    <s v=""/>
    <b v="0"/>
    <m/>
    <m/>
    <d v="2016-12-14T00:00:00"/>
    <m/>
    <n v="791522"/>
    <b v="1"/>
    <m/>
    <m/>
    <m/>
    <x v="0"/>
    <b v="1"/>
    <n v="36549232"/>
    <s v="Corey"/>
    <s v="Taliaferro"/>
    <s v="Aetna"/>
    <s v=""/>
    <s v=""/>
    <s v="TaliaferroC@aetna.com"/>
    <s v=""/>
    <s v=""/>
    <s v=""/>
    <s v=""/>
    <s v=""/>
    <s v=""/>
    <s v=""/>
    <s v=""/>
    <s v=""/>
    <s v=""/>
    <s v=""/>
    <s v=""/>
    <s v=""/>
    <s v=""/>
    <s v=""/>
    <s v=""/>
    <s v="335736Provider Relations - Committee Members, 371616Newsletter Recipient, 420902Monthly Poll Contacts, 447857HFS Ops Workgroup"/>
    <m/>
    <x v="0"/>
  </r>
  <r>
    <n v="42039489"/>
    <b v="0"/>
    <b v="0"/>
    <b v="1"/>
    <b v="1"/>
    <b v="0"/>
    <b v="1"/>
    <b v="1"/>
    <b v="0"/>
    <b v="0"/>
    <n v="0"/>
    <n v="0"/>
    <m/>
    <d v="2017-11-16T00:00:00"/>
    <n v="32127162"/>
    <d v="2017-10-20T00:00:00"/>
    <m/>
    <m/>
    <s v=""/>
    <b v="0"/>
    <m/>
    <m/>
    <d v="2017-10-20T00:00:00"/>
    <m/>
    <n v="791522"/>
    <b v="1"/>
    <m/>
    <d v="2017-10-20T00:00:00"/>
    <m/>
    <x v="0"/>
    <b v="1"/>
    <n v="42039489"/>
    <s v="Philip"/>
    <s v="Talley"/>
    <s v="Illinois Public Health Association"/>
    <s v=""/>
    <s v=""/>
    <s v="ptalley@ipha.com"/>
    <s v=""/>
    <s v=""/>
    <s v=""/>
    <s v=""/>
    <s v=""/>
    <s v=""/>
    <s v=""/>
    <s v=""/>
    <s v=""/>
    <s v=""/>
    <s v=""/>
    <s v=""/>
    <s v=""/>
    <s v=""/>
    <s v=""/>
    <s v=""/>
    <s v="371616Newsletter Recipient"/>
    <m/>
    <x v="0"/>
  </r>
  <r>
    <n v="37822740"/>
    <b v="0"/>
    <b v="0"/>
    <b v="0"/>
    <b v="1"/>
    <b v="0"/>
    <b v="1"/>
    <b v="1"/>
    <b v="0"/>
    <b v="0"/>
    <n v="0"/>
    <n v="0"/>
    <m/>
    <d v="2017-02-24T00:00:00"/>
    <n v="32127162"/>
    <d v="2017-02-24T00:00:00"/>
    <m/>
    <m/>
    <s v=""/>
    <b v="0"/>
    <m/>
    <m/>
    <d v="2017-02-24T00:00:00"/>
    <m/>
    <n v="791522"/>
    <b v="1"/>
    <m/>
    <m/>
    <m/>
    <x v="0"/>
    <b v="1"/>
    <n v="37822740"/>
    <s v="Samir"/>
    <s v="Tanna"/>
    <s v="Action for Children"/>
    <s v=""/>
    <s v=""/>
    <s v="samir.tanna@actforchildren.org"/>
    <s v=""/>
    <s v=""/>
    <s v=""/>
    <s v=""/>
    <s v=""/>
    <s v=""/>
    <s v=""/>
    <s v=""/>
    <s v=""/>
    <s v=""/>
    <s v=""/>
    <s v=""/>
    <s v=""/>
    <s v=""/>
    <s v=""/>
    <s v=""/>
    <s v="371616Newsletter Recipient"/>
    <m/>
    <x v="0"/>
  </r>
  <r>
    <n v="43482205"/>
    <b v="0"/>
    <b v="0"/>
    <b v="0"/>
    <b v="1"/>
    <b v="0"/>
    <b v="1"/>
    <b v="1"/>
    <b v="0"/>
    <b v="0"/>
    <n v="0"/>
    <n v="0"/>
    <m/>
    <d v="2018-01-28T00:00:00"/>
    <n v="32127162"/>
    <d v="2018-01-28T00:00:00"/>
    <m/>
    <m/>
    <s v=""/>
    <b v="0"/>
    <m/>
    <m/>
    <d v="2018-01-28T00:00:00"/>
    <m/>
    <n v="791522"/>
    <b v="1"/>
    <m/>
    <d v="2018-01-28T00:00:00"/>
    <m/>
    <x v="0"/>
    <b v="1"/>
    <n v="43482205"/>
    <s v="Kai"/>
    <s v="Tao"/>
    <s v="Alliance Chicago"/>
    <s v=""/>
    <s v=""/>
    <s v="ktao@alliancechicago.org"/>
    <s v=""/>
    <s v=""/>
    <s v=""/>
    <s v=""/>
    <s v=""/>
    <s v=""/>
    <s v=""/>
    <s v=""/>
    <s v=""/>
    <s v=""/>
    <s v=""/>
    <s v=""/>
    <s v=""/>
    <s v=""/>
    <s v=""/>
    <s v=""/>
    <s v="371616Newsletter Recipient"/>
    <m/>
    <x v="0"/>
  </r>
  <r>
    <n v="43419021"/>
    <b v="0"/>
    <b v="0"/>
    <b v="0"/>
    <b v="1"/>
    <b v="0"/>
    <b v="1"/>
    <b v="1"/>
    <b v="0"/>
    <b v="0"/>
    <n v="0"/>
    <n v="0"/>
    <m/>
    <d v="2018-04-05T00:00:00"/>
    <n v="32127162"/>
    <d v="2018-01-22T00:00:00"/>
    <m/>
    <m/>
    <s v=""/>
    <b v="0"/>
    <m/>
    <m/>
    <d v="2018-01-22T00:00:00"/>
    <m/>
    <n v="791522"/>
    <b v="1"/>
    <m/>
    <d v="2018-01-22T00:00:00"/>
    <m/>
    <x v="0"/>
    <b v="1"/>
    <n v="43419021"/>
    <s v="Caitlin"/>
    <s v="Taylor"/>
    <s v="Molina Healthcare of Illinois, Inc."/>
    <s v=""/>
    <s v=""/>
    <s v="Caitlin.Taylor@molinahealthcare.com"/>
    <s v=""/>
    <s v=""/>
    <s v=""/>
    <s v=""/>
    <s v=""/>
    <s v=""/>
    <s v=""/>
    <s v=""/>
    <s v=""/>
    <s v=""/>
    <s v=""/>
    <s v=""/>
    <s v=""/>
    <s v=""/>
    <s v=""/>
    <s v=""/>
    <s v="335736Provider Relations - Committee Members, 336131Children's Services - Care Coordination, 371616Newsletter Recipient, 420923Community Mental Health - Contracts, 420924Community Mental Health - Claims &amp; Billing, 420925Community Mental Health - Care Coordination, 420926Dental - Contracts, 420927Dental - Claims &amp; Billing, 420928Dental - Care Coordination, 420929Durable Medical Equipment - Contracts, 420930Durable Medical Equipment - Claims &amp; Billing, 420931Durable Medical Equipment - Care Coordination, 420935Home Health - Contracts, 420936Home Health - Claims &amp; Billing, 420937Home Health - Care Coordination, 420944Mental Health - Contracts, 420945Mental Health - Claims &amp; Billing, 420946Mental Health - Care Coordination, 420947Methadone Treatment - Contracts, 420948Methadone Treatment - Claims &amp; Billing, 420949Methadone Treatment - Care Coordination, 420950Physicians - Contracts, 420951Physicians - Claims &amp; Billing, 420952Physicians - Care Coordination, 420960Substance Use Disorder - Contracts, 420961Substance Use Disorder - Claims &amp; Billing, 420962Substance Use Disorder - Care Coordination, 420973Children's Services - Contracts, 420974Children's Services - Claims &amp; Billing"/>
    <s v="10633525Contracts, 10633526Claims/Billing, 10633527Care Coordination"/>
    <x v="0"/>
  </r>
  <r>
    <n v="42703191"/>
    <b v="0"/>
    <b v="0"/>
    <b v="0"/>
    <b v="1"/>
    <b v="0"/>
    <b v="1"/>
    <b v="1"/>
    <b v="0"/>
    <b v="0"/>
    <n v="0"/>
    <n v="0"/>
    <m/>
    <d v="2018-01-22T00:00:00"/>
    <n v="32127162"/>
    <d v="2017-11-20T00:00:00"/>
    <m/>
    <m/>
    <s v=""/>
    <b v="0"/>
    <m/>
    <m/>
    <d v="2017-11-20T00:00:00"/>
    <m/>
    <n v="791522"/>
    <b v="1"/>
    <m/>
    <d v="2017-11-20T00:00:00"/>
    <m/>
    <x v="1"/>
    <b v="1"/>
    <n v="42703191"/>
    <s v="Amy"/>
    <s v="Tenhouse"/>
    <s v="Molina Healthcare of Illinois, Inc."/>
    <s v=""/>
    <s v=""/>
    <s v="Amy.Tenhouse@molinahealthcare.com"/>
    <s v=""/>
    <s v=""/>
    <s v=""/>
    <s v=""/>
    <s v=""/>
    <s v=""/>
    <s v=""/>
    <s v="Molina Healthcare of Illinois, Inc."/>
    <s v=""/>
    <s v=""/>
    <s v=""/>
    <s v=""/>
    <s v=""/>
    <s v=""/>
    <s v=""/>
    <s v=""/>
    <s v="371616Newsletter Recipient, 372296Legislative Committee"/>
    <m/>
    <x v="0"/>
  </r>
  <r>
    <n v="37819957"/>
    <b v="0"/>
    <b v="0"/>
    <b v="0"/>
    <b v="1"/>
    <b v="0"/>
    <b v="1"/>
    <b v="1"/>
    <b v="0"/>
    <b v="0"/>
    <n v="0"/>
    <n v="0"/>
    <m/>
    <d v="2017-02-24T00:00:00"/>
    <n v="32127162"/>
    <d v="2017-02-24T00:00:00"/>
    <m/>
    <m/>
    <s v=""/>
    <b v="0"/>
    <m/>
    <m/>
    <d v="2017-02-24T00:00:00"/>
    <m/>
    <n v="791522"/>
    <b v="1"/>
    <m/>
    <m/>
    <m/>
    <x v="0"/>
    <b v="1"/>
    <n v="37819957"/>
    <s v="Courtney"/>
    <s v="Tennison"/>
    <s v="Family Health Network"/>
    <s v=""/>
    <s v=""/>
    <s v="ctennison@myfhn.com"/>
    <s v=""/>
    <s v=""/>
    <s v=""/>
    <s v=""/>
    <s v=""/>
    <s v=""/>
    <s v=""/>
    <s v=""/>
    <s v="IT System Analyst"/>
    <s v=""/>
    <s v=""/>
    <s v=""/>
    <s v=""/>
    <s v=""/>
    <s v=""/>
    <s v=""/>
    <s v="371616Newsletter Recipient"/>
    <m/>
    <x v="0"/>
  </r>
  <r>
    <n v="37779759"/>
    <b v="0"/>
    <b v="0"/>
    <b v="0"/>
    <b v="1"/>
    <b v="0"/>
    <b v="1"/>
    <b v="1"/>
    <b v="0"/>
    <b v="0"/>
    <n v="0"/>
    <n v="0"/>
    <m/>
    <d v="2017-02-24T00:00:00"/>
    <n v="32127162"/>
    <d v="2017-02-21T00:00:00"/>
    <m/>
    <m/>
    <s v=""/>
    <b v="0"/>
    <m/>
    <m/>
    <d v="2017-02-20T00:00:00"/>
    <m/>
    <n v="791522"/>
    <b v="1"/>
    <m/>
    <m/>
    <m/>
    <x v="0"/>
    <b v="1"/>
    <n v="37779759"/>
    <s v="André"/>
    <s v="Thapedi"/>
    <s v="Illinois General Assembly"/>
    <s v=""/>
    <s v="Representative André Thapedi (D)_x000a_32nd District_x0009__x000a__x000a_Springfield Office:_x000a_249-E Stratton Office Building_x000a_Springfield, IL   62706_x000a_(217) 782-1702_x000a__x000a_District Office:_x000a_4651 W. 79th Street_x000a_Suite 205_x000a_Chicago, IL  60652_x000a_(773) 581-9250_x000a_(773) 581-9260 FAX"/>
    <s v="illinois32district@gmail.com"/>
    <s v=""/>
    <s v=""/>
    <s v=""/>
    <s v=""/>
    <s v=""/>
    <s v=""/>
    <s v=""/>
    <s v=""/>
    <s v=""/>
    <s v=""/>
    <s v=""/>
    <s v=""/>
    <s v=""/>
    <s v=""/>
    <s v=""/>
    <s v=""/>
    <s v="371616Newsletter Recipient, 371627House of Representatives"/>
    <m/>
    <x v="0"/>
  </r>
  <r>
    <n v="44026424"/>
    <b v="0"/>
    <b v="0"/>
    <b v="0"/>
    <b v="1"/>
    <b v="0"/>
    <b v="1"/>
    <b v="1"/>
    <b v="0"/>
    <b v="0"/>
    <n v="0"/>
    <n v="0"/>
    <m/>
    <d v="2018-03-22T00:00:00"/>
    <n v="32127162"/>
    <d v="2018-03-02T00:00:00"/>
    <m/>
    <m/>
    <s v=""/>
    <b v="0"/>
    <m/>
    <m/>
    <d v="2018-03-02T00:00:00"/>
    <m/>
    <n v="791522"/>
    <b v="1"/>
    <m/>
    <d v="2018-03-02T00:00:00"/>
    <m/>
    <x v="0"/>
    <b v="1"/>
    <n v="44026424"/>
    <s v="David"/>
    <s v="Thielemier"/>
    <s v="Aetna Better Health of Illinois"/>
    <s v=""/>
    <s v=""/>
    <s v="david.thielmier@dentaquest.com"/>
    <s v="(314) 221-2394"/>
    <s v=""/>
    <s v=""/>
    <s v=""/>
    <s v=""/>
    <s v=""/>
    <s v=""/>
    <s v=""/>
    <s v=""/>
    <s v=""/>
    <s v=""/>
    <s v=""/>
    <s v=""/>
    <s v=""/>
    <s v=""/>
    <s v=""/>
    <s v="420926Dental - Contracts, 420927Dental - Claims &amp; Billing, 420928Dental - Care Coordination"/>
    <s v="10633525Contracts, 10633526Claims/Billing, 10633527Care Coordination"/>
    <x v="0"/>
  </r>
  <r>
    <n v="37822751"/>
    <b v="0"/>
    <b v="0"/>
    <b v="0"/>
    <b v="1"/>
    <b v="0"/>
    <b v="1"/>
    <b v="1"/>
    <b v="0"/>
    <b v="0"/>
    <n v="0"/>
    <n v="0"/>
    <m/>
    <d v="2017-02-24T00:00:00"/>
    <n v="32127162"/>
    <d v="2017-02-24T00:00:00"/>
    <m/>
    <m/>
    <s v=""/>
    <b v="0"/>
    <m/>
    <m/>
    <d v="2017-02-24T00:00:00"/>
    <m/>
    <n v="791522"/>
    <b v="1"/>
    <m/>
    <m/>
    <m/>
    <x v="0"/>
    <b v="1"/>
    <n v="37822751"/>
    <s v="Robert"/>
    <s v="Thieman"/>
    <s v="Community Care Providers Association"/>
    <s v=""/>
    <s v=""/>
    <s v="rthieman@associationcentral.org"/>
    <s v=""/>
    <s v="W."/>
    <s v=""/>
    <s v=""/>
    <s v=""/>
    <s v=""/>
    <s v=""/>
    <s v=""/>
    <s v=""/>
    <s v=""/>
    <s v=""/>
    <s v=""/>
    <s v=""/>
    <s v=""/>
    <s v=""/>
    <s v=""/>
    <s v="371616Newsletter Recipient"/>
    <m/>
    <x v="0"/>
  </r>
  <r>
    <n v="44399219"/>
    <b v="0"/>
    <b v="0"/>
    <b v="0"/>
    <b v="1"/>
    <b v="0"/>
    <b v="1"/>
    <b v="1"/>
    <b v="0"/>
    <b v="0"/>
    <n v="0"/>
    <n v="0"/>
    <m/>
    <d v="2018-03-26T00:00:00"/>
    <n v="32127162"/>
    <d v="2018-03-26T00:00:00"/>
    <m/>
    <m/>
    <s v=""/>
    <b v="0"/>
    <m/>
    <m/>
    <d v="2018-03-26T00:00:00"/>
    <m/>
    <n v="791522"/>
    <b v="1"/>
    <m/>
    <d v="2018-03-26T00:00:00"/>
    <m/>
    <x v="0"/>
    <b v="1"/>
    <n v="44399219"/>
    <s v="Christie"/>
    <s v="Thomas"/>
    <s v="VaxCare"/>
    <s v=""/>
    <s v=""/>
    <s v="cthomas@vaxcare.com"/>
    <s v=""/>
    <s v=""/>
    <s v=""/>
    <s v=""/>
    <s v=""/>
    <s v=""/>
    <s v=""/>
    <s v=""/>
    <s v=""/>
    <s v=""/>
    <s v=""/>
    <s v=""/>
    <s v=""/>
    <s v=""/>
    <s v=""/>
    <s v=""/>
    <s v="371616Newsletter Recipient, 372311Business Member"/>
    <m/>
    <x v="0"/>
  </r>
  <r>
    <n v="37819959"/>
    <b v="0"/>
    <b v="0"/>
    <b v="0"/>
    <b v="1"/>
    <b v="0"/>
    <b v="1"/>
    <b v="1"/>
    <b v="0"/>
    <b v="0"/>
    <n v="0"/>
    <n v="0"/>
    <m/>
    <d v="2018-03-21T00:00:00"/>
    <n v="32127162"/>
    <d v="2017-02-24T00:00:00"/>
    <m/>
    <m/>
    <s v=""/>
    <b v="0"/>
    <m/>
    <m/>
    <d v="2017-02-24T00:00:00"/>
    <m/>
    <n v="791522"/>
    <b v="1"/>
    <m/>
    <m/>
    <m/>
    <x v="0"/>
    <b v="1"/>
    <n v="37819959"/>
    <s v="Michael"/>
    <s v="Thomas"/>
    <s v="IlliniCare Health"/>
    <s v=""/>
    <s v=""/>
    <s v="michaethomas@centene.com"/>
    <s v=""/>
    <s v=""/>
    <s v=""/>
    <s v=""/>
    <s v=""/>
    <s v=""/>
    <s v=""/>
    <s v=""/>
    <s v=""/>
    <s v=""/>
    <s v=""/>
    <s v=""/>
    <s v=""/>
    <s v=""/>
    <s v=""/>
    <s v=""/>
    <s v="371616Newsletter Recipient, 372294Finance Committee, 428250Hospital Assessment"/>
    <m/>
    <x v="0"/>
  </r>
  <r>
    <n v="44047144"/>
    <b v="0"/>
    <b v="0"/>
    <b v="0"/>
    <b v="1"/>
    <b v="0"/>
    <b v="1"/>
    <b v="1"/>
    <b v="0"/>
    <b v="0"/>
    <n v="0"/>
    <n v="0"/>
    <m/>
    <d v="2018-03-02T00:00:00"/>
    <n v="32127162"/>
    <d v="2018-03-02T00:00:00"/>
    <m/>
    <m/>
    <s v=""/>
    <b v="0"/>
    <m/>
    <m/>
    <d v="2018-03-02T00:00:00"/>
    <m/>
    <n v="791522"/>
    <b v="1"/>
    <m/>
    <d v="2018-03-02T00:00:00"/>
    <m/>
    <x v="0"/>
    <b v="1"/>
    <n v="44047144"/>
    <s v="Linda"/>
    <s v="Thompson"/>
    <s v="Pioneer Gardens Spportive Living"/>
    <s v=""/>
    <s v=""/>
    <s v="lbthompson@pioneergardensslf.com"/>
    <s v=""/>
    <s v=""/>
    <s v=""/>
    <s v=""/>
    <s v=""/>
    <s v=""/>
    <s v=""/>
    <s v=""/>
    <s v=""/>
    <s v=""/>
    <s v=""/>
    <s v=""/>
    <s v=""/>
    <s v=""/>
    <s v=""/>
    <s v=""/>
    <s v="371616Newsletter Recipient"/>
    <m/>
    <x v="0"/>
  </r>
  <r>
    <n v="34514340"/>
    <b v="0"/>
    <b v="0"/>
    <b v="0"/>
    <b v="1"/>
    <b v="0"/>
    <b v="1"/>
    <b v="1"/>
    <b v="0"/>
    <b v="0"/>
    <n v="0"/>
    <n v="0"/>
    <m/>
    <d v="2017-03-29T00:00:00"/>
    <n v="32127162"/>
    <d v="2016-09-16T00:00:00"/>
    <m/>
    <m/>
    <s v=""/>
    <b v="0"/>
    <m/>
    <m/>
    <d v="2016-09-15T00:00:00"/>
    <m/>
    <n v="791522"/>
    <b v="1"/>
    <m/>
    <m/>
    <m/>
    <x v="0"/>
    <b v="1"/>
    <n v="34514340"/>
    <s v="Ashley"/>
    <s v="Thornberry"/>
    <s v="Humana"/>
    <s v=""/>
    <s v=""/>
    <s v="AThornberry@humana.com"/>
    <s v="502-580-4295"/>
    <s v=""/>
    <s v=""/>
    <s v=""/>
    <s v=""/>
    <s v=""/>
    <s v=""/>
    <s v=""/>
    <s v=""/>
    <s v=""/>
    <s v=""/>
    <s v=""/>
    <s v=""/>
    <s v=""/>
    <s v=""/>
    <s v=""/>
    <s v="335700Behavioral Health - Vendor Contact, 371616Newsletter Recipient, 3767711115 Workgroup"/>
    <m/>
    <x v="0"/>
  </r>
  <r>
    <n v="41533132"/>
    <b v="0"/>
    <b v="0"/>
    <b v="0"/>
    <b v="1"/>
    <b v="0"/>
    <b v="1"/>
    <b v="1"/>
    <b v="0"/>
    <b v="0"/>
    <n v="0"/>
    <n v="0"/>
    <m/>
    <d v="2018-05-29T00:00:00"/>
    <n v="32127162"/>
    <d v="2017-09-18T00:00:00"/>
    <m/>
    <m/>
    <s v=""/>
    <b v="0"/>
    <m/>
    <m/>
    <d v="2017-09-18T00:00:00"/>
    <m/>
    <n v="791522"/>
    <b v="1"/>
    <m/>
    <d v="2017-09-18T00:00:00"/>
    <m/>
    <x v="0"/>
    <b v="1"/>
    <n v="41533132"/>
    <s v="Jamie"/>
    <s v="Thunstrom"/>
    <s v="Molina Healthcare of Illinois, Inc."/>
    <s v=""/>
    <s v=""/>
    <s v="jaime.thunstrom@molinahealthcare.com"/>
    <s v=""/>
    <s v=""/>
    <s v=""/>
    <s v=""/>
    <s v=""/>
    <s v=""/>
    <s v=""/>
    <s v=""/>
    <s v=""/>
    <s v=""/>
    <s v=""/>
    <s v=""/>
    <s v=""/>
    <s v=""/>
    <s v=""/>
    <s v=""/>
    <s v="371616Newsletter Recipient, 372297Operations Committee, 443814Billing Working Group, 447857HFS Ops Workgroup"/>
    <m/>
    <x v="0"/>
  </r>
  <r>
    <n v="34094000"/>
    <b v="0"/>
    <b v="0"/>
    <b v="0"/>
    <b v="1"/>
    <b v="0"/>
    <b v="1"/>
    <b v="1"/>
    <b v="0"/>
    <b v="0"/>
    <n v="0"/>
    <n v="0"/>
    <m/>
    <d v="2018-05-17T00:00:00"/>
    <n v="32127162"/>
    <d v="2016-08-29T00:00:00"/>
    <m/>
    <m/>
    <s v=""/>
    <b v="0"/>
    <m/>
    <m/>
    <d v="2016-08-29T00:00:00"/>
    <m/>
    <n v="791522"/>
    <b v="1"/>
    <m/>
    <m/>
    <m/>
    <x v="0"/>
    <b v="1"/>
    <n v="34094000"/>
    <s v="Kim"/>
    <s v="Thurmon"/>
    <s v="Blue Cross Blue Shield of Illinois"/>
    <s v=""/>
    <s v=""/>
    <s v="Kimmyatta_thurmon@bcbsil.com"/>
    <s v="312-653-4859"/>
    <s v="Johnson"/>
    <s v=""/>
    <s v=""/>
    <s v=""/>
    <s v=""/>
    <s v=""/>
    <s v=""/>
    <s v=""/>
    <s v=""/>
    <s v=""/>
    <s v=""/>
    <s v=""/>
    <s v=""/>
    <s v=""/>
    <s v=""/>
    <s v="335736Provider Relations - Committee Members, 371616Newsletter Recipient"/>
    <m/>
    <x v="0"/>
  </r>
  <r>
    <n v="36548837"/>
    <b v="0"/>
    <b v="0"/>
    <b v="0"/>
    <b v="1"/>
    <b v="0"/>
    <b v="1"/>
    <b v="1"/>
    <b v="0"/>
    <b v="0"/>
    <n v="0"/>
    <n v="0"/>
    <m/>
    <d v="2018-01-22T00:00:00"/>
    <n v="32127162"/>
    <d v="2016-12-14T00:00:00"/>
    <m/>
    <m/>
    <s v=""/>
    <b v="0"/>
    <m/>
    <m/>
    <d v="2016-12-14T00:00:00"/>
    <m/>
    <n v="791522"/>
    <b v="1"/>
    <m/>
    <m/>
    <m/>
    <x v="0"/>
    <b v="1"/>
    <n v="36548837"/>
    <s v="Penny"/>
    <s v="Tillman"/>
    <s v="NextLevel Health"/>
    <s v=""/>
    <s v=""/>
    <s v="penny.tillman@nlhpartners.com"/>
    <s v=""/>
    <s v=""/>
    <s v=""/>
    <s v=""/>
    <s v=""/>
    <s v=""/>
    <s v=""/>
    <s v=""/>
    <s v=""/>
    <s v=""/>
    <s v=""/>
    <s v=""/>
    <s v=""/>
    <s v=""/>
    <s v=""/>
    <s v=""/>
    <s v="371616Newsletter Recipient, 372306Marketing Committee"/>
    <m/>
    <x v="0"/>
  </r>
  <r>
    <n v="44637288"/>
    <b v="0"/>
    <b v="0"/>
    <b v="0"/>
    <b v="1"/>
    <b v="0"/>
    <b v="1"/>
    <b v="1"/>
    <b v="0"/>
    <b v="0"/>
    <n v="0"/>
    <n v="0"/>
    <m/>
    <d v="2018-04-12T00:00:00"/>
    <n v="32127162"/>
    <d v="2018-04-12T00:00:00"/>
    <m/>
    <m/>
    <s v=""/>
    <b v="0"/>
    <m/>
    <m/>
    <d v="2018-04-12T00:00:00"/>
    <m/>
    <n v="791522"/>
    <b v="1"/>
    <m/>
    <d v="2018-04-12T00:00:00"/>
    <m/>
    <x v="0"/>
    <b v="1"/>
    <n v="44637288"/>
    <s v="Abdi"/>
    <s v="Tinwalla"/>
    <s v="IlliniCare Health"/>
    <s v="Chief of Psychiatry"/>
    <s v=""/>
    <s v="abdi.y.tinwalla@illinicare.com"/>
    <s v=""/>
    <s v="Y."/>
    <s v="MD"/>
    <s v=""/>
    <s v=""/>
    <s v=""/>
    <s v=""/>
    <s v="IlliniCare Health"/>
    <s v="Chief of Psychiatry"/>
    <s v=""/>
    <s v=""/>
    <s v=""/>
    <s v=""/>
    <s v=""/>
    <s v=""/>
    <s v=""/>
    <s v="371616Newsletter Recipient, 372293Quality Committee"/>
    <m/>
    <x v="0"/>
  </r>
  <r>
    <n v="43733798"/>
    <b v="0"/>
    <b v="0"/>
    <b v="0"/>
    <b v="1"/>
    <b v="0"/>
    <b v="1"/>
    <b v="1"/>
    <b v="0"/>
    <b v="0"/>
    <n v="0"/>
    <n v="0"/>
    <m/>
    <d v="2018-02-12T00:00:00"/>
    <n v="32127162"/>
    <d v="2018-02-12T00:00:00"/>
    <m/>
    <m/>
    <s v=""/>
    <b v="0"/>
    <m/>
    <m/>
    <d v="2018-02-12T00:00:00"/>
    <m/>
    <n v="791522"/>
    <b v="1"/>
    <m/>
    <d v="2018-02-12T00:00:00"/>
    <m/>
    <x v="0"/>
    <b v="1"/>
    <n v="43733798"/>
    <s v="Linda"/>
    <s v="Tolbert"/>
    <s v="Blue Cross Blue Shield of Illinois"/>
    <s v=""/>
    <s v=""/>
    <s v="linda_tolbert@bcbsil.com"/>
    <s v=""/>
    <s v=""/>
    <s v=""/>
    <s v=""/>
    <s v=""/>
    <s v=""/>
    <s v=""/>
    <s v=""/>
    <s v=""/>
    <s v=""/>
    <s v=""/>
    <s v=""/>
    <s v=""/>
    <s v=""/>
    <s v=""/>
    <s v=""/>
    <s v="371616Newsletter Recipient"/>
    <m/>
    <x v="0"/>
  </r>
  <r>
    <n v="34095896"/>
    <b v="0"/>
    <b v="0"/>
    <b v="0"/>
    <b v="1"/>
    <b v="0"/>
    <b v="1"/>
    <b v="1"/>
    <b v="0"/>
    <b v="0"/>
    <n v="0"/>
    <n v="0"/>
    <m/>
    <d v="2017-06-28T00:00:00"/>
    <n v="32127162"/>
    <d v="2016-08-30T00:00:00"/>
    <m/>
    <m/>
    <s v=""/>
    <b v="0"/>
    <m/>
    <m/>
    <d v="2016-08-29T00:00:00"/>
    <m/>
    <n v="791522"/>
    <b v="1"/>
    <m/>
    <m/>
    <m/>
    <x v="0"/>
    <b v="1"/>
    <n v="34095896"/>
    <s v="Mark"/>
    <s v="Tolley"/>
    <s v="Community Care Alliance of Illinois (CCAI)"/>
    <s v=""/>
    <s v="Senior Manager of Contracting"/>
    <s v="MTolley@fhnchicago.com"/>
    <s v="312-605-9886"/>
    <s v=""/>
    <s v=""/>
    <s v=""/>
    <s v=""/>
    <s v=""/>
    <s v=""/>
    <s v=""/>
    <s v=""/>
    <s v=""/>
    <s v=""/>
    <s v=""/>
    <s v=""/>
    <s v=""/>
    <s v=""/>
    <s v=""/>
    <s v="371616Newsletter Recipient"/>
    <m/>
    <x v="0"/>
  </r>
  <r>
    <n v="37819961"/>
    <b v="0"/>
    <b v="0"/>
    <b v="0"/>
    <b v="1"/>
    <b v="0"/>
    <b v="1"/>
    <b v="1"/>
    <b v="0"/>
    <b v="0"/>
    <n v="0"/>
    <n v="0"/>
    <m/>
    <d v="2017-02-24T00:00:00"/>
    <n v="32127162"/>
    <d v="2017-02-24T00:00:00"/>
    <m/>
    <m/>
    <s v=""/>
    <b v="0"/>
    <m/>
    <m/>
    <d v="2017-02-24T00:00:00"/>
    <m/>
    <n v="791522"/>
    <b v="1"/>
    <m/>
    <m/>
    <m/>
    <x v="0"/>
    <b v="1"/>
    <n v="37819961"/>
    <s v="Lauren"/>
    <s v="Tomko"/>
    <s v="HFS Bureau of Managed Care"/>
    <s v=""/>
    <s v=""/>
    <s v="Lauren.Tomko@illinois.gov"/>
    <s v=""/>
    <s v=""/>
    <s v=""/>
    <s v=""/>
    <s v=""/>
    <s v=""/>
    <s v=""/>
    <s v=""/>
    <s v=""/>
    <s v=""/>
    <s v=""/>
    <s v=""/>
    <s v=""/>
    <s v=""/>
    <s v=""/>
    <s v=""/>
    <s v="371616Newsletter Recipient"/>
    <m/>
    <x v="0"/>
  </r>
  <r>
    <n v="34087266"/>
    <b v="0"/>
    <b v="0"/>
    <b v="0"/>
    <b v="1"/>
    <b v="0"/>
    <b v="1"/>
    <b v="1"/>
    <b v="0"/>
    <b v="0"/>
    <n v="0"/>
    <n v="0"/>
    <m/>
    <d v="2017-12-06T00:00:00"/>
    <n v="32127162"/>
    <d v="2016-08-29T00:00:00"/>
    <m/>
    <m/>
    <s v=""/>
    <b v="0"/>
    <m/>
    <m/>
    <d v="2016-08-29T00:00:00"/>
    <m/>
    <n v="791522"/>
    <b v="1"/>
    <m/>
    <m/>
    <m/>
    <x v="0"/>
    <b v="1"/>
    <n v="34087266"/>
    <s v="Janice"/>
    <s v="Torosian"/>
    <s v="Meridian Health Plan"/>
    <s v=""/>
    <s v=""/>
    <s v="Janice.Torosian@mhplan.com"/>
    <s v="313-324-3704"/>
    <s v=""/>
    <s v=""/>
    <s v=""/>
    <s v=""/>
    <s v=""/>
    <s v=""/>
    <s v=""/>
    <s v=""/>
    <s v=""/>
    <s v=""/>
    <s v=""/>
    <s v=""/>
    <s v=""/>
    <s v=""/>
    <s v=""/>
    <s v="371616Newsletter Recipient, 372294Finance Committee"/>
    <m/>
    <x v="0"/>
  </r>
  <r>
    <n v="43426269"/>
    <b v="0"/>
    <b v="0"/>
    <b v="0"/>
    <b v="1"/>
    <b v="0"/>
    <b v="1"/>
    <b v="1"/>
    <b v="0"/>
    <b v="0"/>
    <n v="0"/>
    <n v="0"/>
    <m/>
    <d v="2018-05-29T00:00:00"/>
    <n v="32127162"/>
    <d v="2018-01-23T00:00:00"/>
    <m/>
    <m/>
    <s v=""/>
    <b v="0"/>
    <m/>
    <m/>
    <d v="2018-01-23T00:00:00"/>
    <m/>
    <n v="791522"/>
    <b v="1"/>
    <m/>
    <d v="2018-01-23T00:00:00"/>
    <m/>
    <x v="0"/>
    <b v="1"/>
    <n v="43426269"/>
    <s v="Jeff"/>
    <s v="Torres"/>
    <s v="IlliniCare Health"/>
    <s v=""/>
    <s v=""/>
    <s v="Jeffrey.C.Torres@illinicare.com"/>
    <s v=""/>
    <s v=""/>
    <s v=""/>
    <s v=""/>
    <s v=""/>
    <s v=""/>
    <s v=""/>
    <s v=""/>
    <s v="SVP of Compliance"/>
    <s v=""/>
    <s v=""/>
    <s v=""/>
    <s v=""/>
    <s v=""/>
    <s v=""/>
    <s v=""/>
    <s v="335741Chief Executive Officer, 350522Compliance Officer, 371616Newsletter Recipient, 372294Finance Committee, 372297Operations Committee, 420911IAMHP Leadership, 428250Hospital Assessment, 441580Compliance Committee, 447857HFS Ops Workgroup"/>
    <m/>
    <x v="0"/>
  </r>
  <r>
    <n v="44047273"/>
    <b v="0"/>
    <b v="0"/>
    <b v="0"/>
    <b v="1"/>
    <b v="0"/>
    <b v="1"/>
    <b v="1"/>
    <b v="0"/>
    <b v="0"/>
    <n v="0"/>
    <n v="0"/>
    <m/>
    <d v="2018-03-02T00:00:00"/>
    <n v="32127162"/>
    <d v="2018-03-02T00:00:00"/>
    <m/>
    <m/>
    <s v=""/>
    <b v="0"/>
    <m/>
    <m/>
    <d v="2018-03-02T00:00:00"/>
    <m/>
    <n v="791522"/>
    <b v="1"/>
    <m/>
    <d v="2018-03-02T00:00:00"/>
    <m/>
    <x v="0"/>
    <b v="1"/>
    <n v="44047273"/>
    <s v="Lazaro"/>
    <s v="Torres"/>
    <s v="HSAG"/>
    <s v=""/>
    <s v=""/>
    <s v="ltorres@hsag.com"/>
    <s v=""/>
    <s v=""/>
    <s v=""/>
    <s v=""/>
    <s v=""/>
    <s v=""/>
    <s v=""/>
    <s v=""/>
    <s v=""/>
    <s v=""/>
    <s v=""/>
    <s v=""/>
    <s v=""/>
    <s v=""/>
    <s v=""/>
    <s v=""/>
    <s v="371616Newsletter Recipient"/>
    <m/>
    <x v="0"/>
  </r>
  <r>
    <n v="37819963"/>
    <b v="0"/>
    <b v="0"/>
    <b v="0"/>
    <b v="1"/>
    <b v="0"/>
    <b v="1"/>
    <b v="1"/>
    <b v="0"/>
    <b v="0"/>
    <n v="0"/>
    <n v="0"/>
    <m/>
    <d v="2018-01-22T00:00:00"/>
    <n v="32127162"/>
    <d v="2017-02-24T00:00:00"/>
    <m/>
    <m/>
    <s v=""/>
    <b v="0"/>
    <m/>
    <m/>
    <d v="2017-02-24T00:00:00"/>
    <m/>
    <n v="791522"/>
    <b v="1"/>
    <m/>
    <m/>
    <m/>
    <x v="0"/>
    <b v="1"/>
    <n v="37819963"/>
    <s v="Miguel"/>
    <s v="Torres"/>
    <s v="Harmony Health Plan of Illinois - A WellCare Company"/>
    <s v=""/>
    <s v=""/>
    <s v="miguel.torres@wellcare.com"/>
    <s v=""/>
    <s v=""/>
    <s v=""/>
    <s v=""/>
    <s v=""/>
    <s v=""/>
    <s v=""/>
    <s v=""/>
    <s v=""/>
    <s v=""/>
    <s v=""/>
    <s v=""/>
    <s v=""/>
    <s v=""/>
    <s v=""/>
    <s v=""/>
    <s v="371616Newsletter Recipient"/>
    <m/>
    <x v="0"/>
  </r>
  <r>
    <n v="39538397"/>
    <b v="0"/>
    <b v="0"/>
    <b v="0"/>
    <b v="1"/>
    <b v="0"/>
    <b v="1"/>
    <b v="1"/>
    <b v="0"/>
    <b v="0"/>
    <n v="0"/>
    <n v="0"/>
    <m/>
    <d v="2018-01-29T00:00:00"/>
    <n v="32127162"/>
    <d v="2017-06-28T00:00:00"/>
    <m/>
    <m/>
    <s v=""/>
    <b v="0"/>
    <m/>
    <m/>
    <d v="2017-06-28T00:00:00"/>
    <m/>
    <n v="791522"/>
    <b v="1"/>
    <m/>
    <m/>
    <m/>
    <x v="0"/>
    <b v="1"/>
    <n v="39538397"/>
    <s v="Janelle"/>
    <s v="Tortoriello"/>
    <s v="Molina Healthcare of Illinois, Inc."/>
    <s v=""/>
    <s v=""/>
    <s v="Janelle.Tortoriello@molinahealthcare.com"/>
    <s v="855-866-5462 prompt for language, prompt for pharm"/>
    <s v=""/>
    <s v=""/>
    <s v=""/>
    <s v=""/>
    <s v=""/>
    <s v=""/>
    <s v=""/>
    <s v=""/>
    <s v=""/>
    <s v=""/>
    <s v=""/>
    <s v=""/>
    <s v=""/>
    <s v=""/>
    <s v=""/>
    <s v="371616Newsletter Recipient"/>
    <m/>
    <x v="0"/>
  </r>
  <r>
    <n v="34088241"/>
    <b v="0"/>
    <b v="0"/>
    <b v="0"/>
    <b v="1"/>
    <b v="0"/>
    <b v="1"/>
    <b v="1"/>
    <b v="0"/>
    <b v="0"/>
    <n v="0"/>
    <n v="0"/>
    <m/>
    <d v="2018-01-29T00:00:00"/>
    <n v="32127162"/>
    <d v="2016-08-29T00:00:00"/>
    <m/>
    <m/>
    <s v=""/>
    <b v="0"/>
    <m/>
    <m/>
    <d v="2016-08-29T00:00:00"/>
    <m/>
    <n v="791522"/>
    <b v="1"/>
    <m/>
    <m/>
    <m/>
    <x v="0"/>
    <b v="1"/>
    <n v="34088241"/>
    <s v="Tishika"/>
    <s v="Townsend"/>
    <s v="Blue Cross Blue Shield of Illinois"/>
    <s v=""/>
    <s v=""/>
    <s v="Tishika_Townsend@bcbsil.com"/>
    <s v="312-653-4915"/>
    <s v=""/>
    <s v=""/>
    <s v=""/>
    <s v=""/>
    <s v=""/>
    <s v=""/>
    <s v=""/>
    <s v=""/>
    <s v=""/>
    <s v=""/>
    <s v=""/>
    <s v=""/>
    <s v=""/>
    <s v=""/>
    <s v=""/>
    <s v="335736Provider Relations - Committee Members, 371616Newsletter Recipient"/>
    <m/>
    <x v="0"/>
  </r>
  <r>
    <n v="37822492"/>
    <b v="0"/>
    <b v="0"/>
    <b v="0"/>
    <b v="1"/>
    <b v="0"/>
    <b v="1"/>
    <b v="1"/>
    <b v="0"/>
    <b v="0"/>
    <n v="0"/>
    <n v="0"/>
    <m/>
    <d v="2017-02-24T00:00:00"/>
    <n v="32127162"/>
    <d v="2017-02-24T00:00:00"/>
    <m/>
    <m/>
    <s v=""/>
    <b v="0"/>
    <m/>
    <m/>
    <d v="2017-02-24T00:00:00"/>
    <m/>
    <n v="791522"/>
    <b v="1"/>
    <m/>
    <m/>
    <m/>
    <x v="0"/>
    <b v="1"/>
    <n v="37822492"/>
    <s v="Assistant to Senator William R. Haine"/>
    <s v="Tracy"/>
    <s v="Illinois General Assembly"/>
    <s v=""/>
    <s v=""/>
    <s v="tracy@hainedistrictoffice.com"/>
    <s v=""/>
    <s v=""/>
    <s v=""/>
    <s v=""/>
    <s v=""/>
    <s v=""/>
    <s v=""/>
    <s v=""/>
    <s v=""/>
    <s v=""/>
    <s v=""/>
    <s v=""/>
    <s v=""/>
    <s v=""/>
    <s v=""/>
    <s v=""/>
    <s v="371616Newsletter Recipient, 372319IGA Senate Staff"/>
    <m/>
    <x v="0"/>
  </r>
  <r>
    <n v="37770891"/>
    <b v="0"/>
    <b v="0"/>
    <b v="0"/>
    <b v="1"/>
    <b v="0"/>
    <b v="1"/>
    <b v="1"/>
    <b v="0"/>
    <b v="0"/>
    <n v="0"/>
    <n v="0"/>
    <m/>
    <d v="2017-02-24T00:00:00"/>
    <n v="32127162"/>
    <d v="2017-02-20T00:00:00"/>
    <m/>
    <m/>
    <s v=""/>
    <b v="0"/>
    <m/>
    <m/>
    <d v="2017-02-20T00:00:00"/>
    <m/>
    <n v="791522"/>
    <b v="1"/>
    <m/>
    <m/>
    <m/>
    <x v="0"/>
    <b v="1"/>
    <n v="37770891"/>
    <s v="Jil"/>
    <s v="Tracy"/>
    <s v="Illinois General Assembly"/>
    <s v=""/>
    <s v="Senator Jil Tracy (R)_x000a_47th District_x0009__x000a__x000a_Springfield Office:_x000a_Senator 47th District_x000a_M103A Capitol Building_x000a_Springfield, IL   62706_x000a_(217) 782-2479_x000a_(217) 782-9586 FAX_x000a_ _x000a_District Office:_x000a_3701 East Lake Center Drive_x000a_Suite 3_x000a_Quincy, IL  62305_x000a_(217) 223-0833_x000a_(217) 223-1565 FAX"/>
    <s v=""/>
    <s v=""/>
    <s v=""/>
    <s v=""/>
    <s v=""/>
    <s v=""/>
    <s v="(217) 782-2479"/>
    <s v=""/>
    <s v=""/>
    <s v=""/>
    <s v=""/>
    <s v=""/>
    <s v=""/>
    <s v=""/>
    <s v=""/>
    <s v=""/>
    <s v=""/>
    <s v="371609Senator, 371616Newsletter Recipient"/>
    <m/>
    <x v="0"/>
  </r>
  <r>
    <n v="44098980"/>
    <b v="0"/>
    <b v="0"/>
    <b v="0"/>
    <b v="1"/>
    <b v="0"/>
    <b v="1"/>
    <b v="1"/>
    <b v="0"/>
    <b v="0"/>
    <n v="0"/>
    <n v="0"/>
    <m/>
    <d v="2018-04-24T00:00:00"/>
    <n v="32127162"/>
    <d v="2018-03-07T00:00:00"/>
    <m/>
    <m/>
    <s v=""/>
    <b v="0"/>
    <m/>
    <m/>
    <d v="2018-03-07T00:00:00"/>
    <m/>
    <n v="791522"/>
    <b v="1"/>
    <m/>
    <d v="2018-03-07T00:00:00"/>
    <m/>
    <x v="0"/>
    <b v="1"/>
    <n v="44098980"/>
    <s v="Denise"/>
    <s v="Travis"/>
    <s v="Aetna Better Health of Illinois"/>
    <s v=""/>
    <s v=""/>
    <s v="travisi@aetna.com"/>
    <s v=""/>
    <s v=""/>
    <s v=""/>
    <s v=""/>
    <s v=""/>
    <s v=""/>
    <s v=""/>
    <s v="Aetna Better Health Illinois Medicaid"/>
    <s v=""/>
    <s v=""/>
    <s v=""/>
    <s v=""/>
    <s v=""/>
    <s v=""/>
    <s v=""/>
    <s v=""/>
    <s v="350522Compliance Officer, 371616Newsletter Recipient, 441580Compliance Committee"/>
    <m/>
    <x v="0"/>
  </r>
  <r>
    <n v="39543645"/>
    <b v="0"/>
    <b v="0"/>
    <b v="0"/>
    <b v="1"/>
    <b v="0"/>
    <b v="1"/>
    <b v="1"/>
    <b v="0"/>
    <b v="0"/>
    <n v="0"/>
    <n v="0"/>
    <m/>
    <d v="2017-06-28T00:00:00"/>
    <n v="32127162"/>
    <d v="2017-06-28T00:00:00"/>
    <m/>
    <m/>
    <s v=""/>
    <b v="0"/>
    <m/>
    <m/>
    <d v="2017-06-28T00:00:00"/>
    <m/>
    <n v="791522"/>
    <b v="1"/>
    <m/>
    <m/>
    <m/>
    <x v="0"/>
    <b v="1"/>
    <n v="39543645"/>
    <s v="Sarah"/>
    <s v="Troll"/>
    <s v="DuPage County Health Department"/>
    <s v=""/>
    <s v=""/>
    <s v="sarah.troll@dupagehealth.org"/>
    <s v=""/>
    <s v=""/>
    <s v=""/>
    <s v=""/>
    <s v=""/>
    <s v=""/>
    <s v=""/>
    <s v=""/>
    <s v=""/>
    <s v=""/>
    <s v=""/>
    <s v=""/>
    <s v=""/>
    <s v=""/>
    <s v=""/>
    <s v=""/>
    <s v="371616Newsletter Recipient"/>
    <m/>
    <x v="0"/>
  </r>
  <r>
    <n v="37770901"/>
    <b v="0"/>
    <b v="0"/>
    <b v="0"/>
    <b v="1"/>
    <b v="0"/>
    <b v="1"/>
    <b v="1"/>
    <b v="0"/>
    <b v="0"/>
    <n v="0"/>
    <n v="0"/>
    <m/>
    <d v="2017-02-24T00:00:00"/>
    <n v="32127162"/>
    <d v="2017-02-20T00:00:00"/>
    <m/>
    <m/>
    <s v=""/>
    <b v="0"/>
    <m/>
    <m/>
    <d v="2017-02-20T00:00:00"/>
    <m/>
    <n v="791522"/>
    <b v="1"/>
    <m/>
    <m/>
    <m/>
    <x v="0"/>
    <b v="1"/>
    <n v="37770901"/>
    <s v="Donne"/>
    <s v="Trotter"/>
    <s v="Illinois General Assembly"/>
    <s v="Senator"/>
    <s v="Senator Donne E. Trotter (D)_x000a_17th District_x000a_Assistant Majority Leader_x0009_ _x0009__x000a__x000a_Springfield Office:_x000a_Senator 17th District_x000a_627 Capitol Building_x000a_Springfield, IL   62706_x000a_(217) 782-3201_x000a_(217) 782-8201 FAX_x000a_ _x000a_District Office:_x000a_8658 S. Cottage Grove Ave._x000a_Suite 404_x000a_Chicago, IL  60619_x000a_(773) 933-7715_x000a_(773) 933-5498 FAX"/>
    <s v="donnetrotter@yahoo.com"/>
    <s v=""/>
    <s v="E."/>
    <s v=""/>
    <s v=""/>
    <s v=""/>
    <s v="(217) 782-3201"/>
    <s v=""/>
    <s v=""/>
    <s v=""/>
    <s v=""/>
    <s v=""/>
    <s v=""/>
    <s v=""/>
    <s v=""/>
    <s v=""/>
    <s v=""/>
    <s v="371609Senator, 371616Newsletter Recipient"/>
    <m/>
    <x v="0"/>
  </r>
  <r>
    <n v="37819965"/>
    <b v="0"/>
    <b v="0"/>
    <b v="0"/>
    <b v="1"/>
    <b v="0"/>
    <b v="1"/>
    <b v="1"/>
    <b v="0"/>
    <b v="0"/>
    <n v="0"/>
    <n v="0"/>
    <m/>
    <d v="2018-01-12T00:00:00"/>
    <n v="32127162"/>
    <d v="2017-02-24T00:00:00"/>
    <m/>
    <m/>
    <s v=""/>
    <b v="0"/>
    <m/>
    <m/>
    <d v="2017-02-24T00:00:00"/>
    <m/>
    <n v="791522"/>
    <b v="1"/>
    <m/>
    <m/>
    <m/>
    <x v="0"/>
    <b v="1"/>
    <n v="37819965"/>
    <s v="Camille"/>
    <s v="Trunkett"/>
    <s v="Family Health Network/Community Care Alliance of Illinois"/>
    <s v=""/>
    <s v="Camille Trunkett, JD, CHC, CHPC_x000a_Director, Compliance_x000a_Family Health Network/Community Care Alliance of Illinois_x000a_322 South Green Street, Suite 400_x000a_Chicago, IL 60607_x000a_312-880-1630_x000a_Ctrunkett@myfhn.com"/>
    <s v="CTrunkett@myfhn.com"/>
    <s v=""/>
    <s v=""/>
    <s v=""/>
    <s v=""/>
    <s v=""/>
    <s v="312-880-1630"/>
    <s v=""/>
    <s v=""/>
    <s v="Director, Compliance"/>
    <s v=""/>
    <s v=""/>
    <s v=""/>
    <s v=""/>
    <s v=""/>
    <s v=""/>
    <s v=""/>
    <m/>
    <m/>
    <x v="0"/>
  </r>
  <r>
    <n v="46699332"/>
    <b v="0"/>
    <b v="0"/>
    <b v="0"/>
    <b v="1"/>
    <b v="0"/>
    <b v="1"/>
    <b v="1"/>
    <b v="0"/>
    <b v="0"/>
    <n v="0"/>
    <n v="0"/>
    <m/>
    <d v="2018-06-29T00:00:00"/>
    <n v="32127162"/>
    <d v="2018-06-29T00:00:00"/>
    <m/>
    <m/>
    <s v=""/>
    <b v="0"/>
    <m/>
    <m/>
    <d v="2018-06-29T00:00:00"/>
    <m/>
    <n v="791522"/>
    <b v="1"/>
    <m/>
    <d v="2018-06-29T00:00:00"/>
    <m/>
    <x v="0"/>
    <b v="1"/>
    <n v="46699332"/>
    <s v="Cristina"/>
    <s v="Turino"/>
    <s v="CountyCare Health Plan"/>
    <s v=""/>
    <s v=""/>
    <s v="cristina.turino@cookcountyhhs.org"/>
    <s v=""/>
    <s v=""/>
    <s v=""/>
    <s v=""/>
    <s v=""/>
    <s v=""/>
    <s v=""/>
    <s v="CountyCare Health Plan"/>
    <s v=""/>
    <s v=""/>
    <s v=""/>
    <s v=""/>
    <s v=""/>
    <s v=""/>
    <s v=""/>
    <s v=""/>
    <s v="371616Newsletter Recipient, 3767711115 Workgroup"/>
    <m/>
    <x v="0"/>
  </r>
  <r>
    <n v="37779763"/>
    <b v="0"/>
    <b v="0"/>
    <b v="0"/>
    <b v="1"/>
    <b v="0"/>
    <b v="1"/>
    <b v="1"/>
    <b v="0"/>
    <b v="0"/>
    <n v="0"/>
    <n v="0"/>
    <m/>
    <d v="2017-02-24T00:00:00"/>
    <n v="32127162"/>
    <d v="2017-02-21T00:00:00"/>
    <m/>
    <m/>
    <s v=""/>
    <b v="0"/>
    <m/>
    <m/>
    <d v="2017-02-20T00:00:00"/>
    <m/>
    <n v="791522"/>
    <b v="1"/>
    <m/>
    <m/>
    <m/>
    <x v="0"/>
    <b v="1"/>
    <n v="37779763"/>
    <s v="Arthur"/>
    <s v="Turner"/>
    <s v="Illinois General Assembly"/>
    <s v=""/>
    <s v="Representative Arthur Turner (D)_x000a_9th District_x000a_Deputy Majority Leader _x0009__x000a__x000a_Springfield Office:_x000a_109 Capitol Building_x000a_Springfield, IL   62706_x000a_(217) 782-8116_x000a_(217) 782-0888 FAX_x000a__x000a_District Office:_x000a_3849 West Ogden Avenue_x000a_Chicago, IL  60623_x000a_(773) 277-4700_x000a_(773) 277-4703 FAX"/>
    <s v="arthurt@ilga.gov"/>
    <s v=""/>
    <s v=""/>
    <s v=""/>
    <s v=""/>
    <s v=""/>
    <s v=""/>
    <s v=""/>
    <s v=""/>
    <s v=""/>
    <s v=""/>
    <s v=""/>
    <s v=""/>
    <s v=""/>
    <s v=""/>
    <s v=""/>
    <s v=""/>
    <s v="371616Newsletter Recipient, 371627House of Representatives"/>
    <m/>
    <x v="0"/>
  </r>
  <r>
    <n v="44035980"/>
    <b v="0"/>
    <b v="0"/>
    <b v="0"/>
    <b v="1"/>
    <b v="0"/>
    <b v="1"/>
    <b v="1"/>
    <b v="0"/>
    <b v="0"/>
    <n v="0"/>
    <n v="0"/>
    <m/>
    <d v="2018-03-26T00:00:00"/>
    <n v="32127162"/>
    <d v="2018-03-02T00:00:00"/>
    <m/>
    <m/>
    <s v=""/>
    <b v="0"/>
    <m/>
    <m/>
    <d v="2018-03-02T00:00:00"/>
    <m/>
    <n v="791522"/>
    <b v="1"/>
    <m/>
    <d v="2018-03-02T00:00:00"/>
    <m/>
    <x v="0"/>
    <b v="1"/>
    <n v="44035980"/>
    <s v="Allisson"/>
    <s v="Tussey"/>
    <s v="MTM (Meridian)"/>
    <s v="(Non-Ambulance)"/>
    <s v=""/>
    <s v="jtussey@mtm-inc.net"/>
    <s v="636.695.5569"/>
    <s v=""/>
    <s v=""/>
    <s v=""/>
    <s v=""/>
    <s v=""/>
    <s v=""/>
    <s v=""/>
    <s v="Non-Ambulance"/>
    <s v=""/>
    <s v=""/>
    <s v=""/>
    <s v=""/>
    <s v=""/>
    <s v=""/>
    <s v=""/>
    <s v="420967Transportation - Contracts, 420968Transportation - Claims &amp; Billing, 420969Transportation - Care Coordination"/>
    <s v="10633525Contracts, 10633526Claims/Billing, 10633527Care Coordination"/>
    <x v="0"/>
  </r>
  <r>
    <n v="37822830"/>
    <b v="0"/>
    <b v="0"/>
    <b v="0"/>
    <b v="1"/>
    <b v="0"/>
    <b v="1"/>
    <b v="1"/>
    <b v="0"/>
    <b v="0"/>
    <n v="0"/>
    <n v="0"/>
    <m/>
    <d v="2017-06-21T00:00:00"/>
    <n v="32127162"/>
    <d v="2017-02-24T00:00:00"/>
    <m/>
    <m/>
    <s v=""/>
    <b v="0"/>
    <m/>
    <m/>
    <d v="2017-02-24T00:00:00"/>
    <m/>
    <n v="791522"/>
    <b v="1"/>
    <m/>
    <m/>
    <m/>
    <x v="0"/>
    <b v="1"/>
    <n v="37822830"/>
    <s v="Sam"/>
    <s v="Tuttle"/>
    <s v="Heartland Alliance"/>
    <s v=""/>
    <s v=""/>
    <s v="stuttle@heartlandalliance.org"/>
    <s v=""/>
    <s v=""/>
    <s v=""/>
    <s v=""/>
    <s v="773-480-3711"/>
    <s v=""/>
    <s v=""/>
    <s v=""/>
    <s v=""/>
    <s v=""/>
    <s v=""/>
    <s v=""/>
    <s v=""/>
    <s v=""/>
    <s v=""/>
    <s v=""/>
    <s v="371616Newsletter Recipient"/>
    <m/>
    <x v="0"/>
  </r>
  <r>
    <n v="34020730"/>
    <b v="0"/>
    <b v="0"/>
    <b v="0"/>
    <b v="1"/>
    <b v="0"/>
    <b v="1"/>
    <b v="1"/>
    <b v="0"/>
    <b v="0"/>
    <n v="0"/>
    <n v="0"/>
    <m/>
    <d v="2017-12-06T00:00:00"/>
    <n v="32127162"/>
    <d v="2016-08-22T00:00:00"/>
    <m/>
    <m/>
    <s v=""/>
    <b v="0"/>
    <m/>
    <m/>
    <d v="2016-08-22T00:00:00"/>
    <m/>
    <n v="791522"/>
    <b v="1"/>
    <m/>
    <m/>
    <m/>
    <x v="0"/>
    <b v="1"/>
    <n v="34020730"/>
    <s v="Lawrence"/>
    <s v="Underwood"/>
    <s v="Aetna Better Health"/>
    <s v=""/>
    <s v=""/>
    <s v="UnderwoodL2@aetna.com"/>
    <s v="630-737-6464"/>
    <s v=""/>
    <s v=""/>
    <s v=""/>
    <s v=""/>
    <s v=""/>
    <s v=""/>
    <s v=""/>
    <s v=""/>
    <s v=""/>
    <s v=""/>
    <s v=""/>
    <s v=""/>
    <s v=""/>
    <s v=""/>
    <s v=""/>
    <s v="371616Newsletter Recipient"/>
    <m/>
    <x v="0"/>
  </r>
  <r>
    <n v="37779765"/>
    <b v="0"/>
    <b v="0"/>
    <b v="0"/>
    <b v="1"/>
    <b v="0"/>
    <b v="1"/>
    <b v="1"/>
    <b v="0"/>
    <b v="0"/>
    <n v="0"/>
    <n v="0"/>
    <m/>
    <d v="2017-02-24T00:00:00"/>
    <n v="32127162"/>
    <d v="2017-02-21T00:00:00"/>
    <m/>
    <m/>
    <s v=""/>
    <b v="0"/>
    <m/>
    <m/>
    <d v="2017-02-20T00:00:00"/>
    <m/>
    <n v="791522"/>
    <b v="1"/>
    <m/>
    <m/>
    <m/>
    <x v="0"/>
    <b v="1"/>
    <n v="37779765"/>
    <s v="Michael"/>
    <s v="Unes"/>
    <s v="Illinois General Assembly"/>
    <s v=""/>
    <s v="Representative Michael D. Unes (R)_x000a_91st District_x000a_Assistant Republican Leader _x0009__x000a__x000a_Springfield Office:_x000a_224-N Stratton Office Building_x000a_Springfield, IL   62706_x000a_(217) 782-8152_x000a_(217) 782-1275 FAX_x000a__x000a_District Office:_x000a_19 S. Capitol St._x000a_Pekin, IL  61554_x000a_(309) 620-8631_x000a_(309) 349-3046 FAX"/>
    <s v="repunes@gmail.com"/>
    <s v=""/>
    <s v=""/>
    <s v=""/>
    <s v=""/>
    <s v=""/>
    <s v=""/>
    <s v=""/>
    <s v=""/>
    <s v=""/>
    <s v=""/>
    <s v=""/>
    <s v=""/>
    <s v=""/>
    <s v=""/>
    <s v=""/>
    <s v=""/>
    <s v="371616Newsletter Recipient, 371627House of Representatives"/>
    <m/>
    <x v="0"/>
  </r>
  <r>
    <n v="37822576"/>
    <b v="0"/>
    <b v="0"/>
    <b v="0"/>
    <b v="1"/>
    <b v="0"/>
    <b v="1"/>
    <b v="1"/>
    <b v="0"/>
    <b v="0"/>
    <n v="0"/>
    <n v="0"/>
    <m/>
    <d v="2017-02-24T00:00:00"/>
    <n v="32127162"/>
    <d v="2017-02-24T00:00:00"/>
    <m/>
    <m/>
    <s v=""/>
    <b v="0"/>
    <m/>
    <m/>
    <d v="2017-02-24T00:00:00"/>
    <m/>
    <n v="791522"/>
    <b v="1"/>
    <m/>
    <m/>
    <m/>
    <x v="0"/>
    <b v="1"/>
    <n v="37822576"/>
    <s v="Tony"/>
    <s v="Vacco"/>
    <s v=""/>
    <s v=""/>
    <s v=""/>
    <s v="tvacco@ilshealth.com"/>
    <s v=""/>
    <s v=""/>
    <s v=""/>
    <s v=""/>
    <s v=""/>
    <s v=""/>
    <s v=""/>
    <s v=""/>
    <s v=""/>
    <s v=""/>
    <s v=""/>
    <s v=""/>
    <s v=""/>
    <s v=""/>
    <s v=""/>
    <s v=""/>
    <s v="371616Newsletter Recipient"/>
    <m/>
    <x v="0"/>
  </r>
  <r>
    <n v="37770904"/>
    <b v="0"/>
    <b v="0"/>
    <b v="0"/>
    <b v="1"/>
    <b v="0"/>
    <b v="1"/>
    <b v="1"/>
    <b v="0"/>
    <b v="0"/>
    <n v="0"/>
    <n v="0"/>
    <m/>
    <d v="2017-02-24T00:00:00"/>
    <n v="32127162"/>
    <d v="2017-02-20T00:00:00"/>
    <m/>
    <m/>
    <s v=""/>
    <b v="0"/>
    <m/>
    <m/>
    <d v="2017-02-20T00:00:00"/>
    <m/>
    <n v="791522"/>
    <b v="1"/>
    <m/>
    <m/>
    <m/>
    <x v="0"/>
    <b v="1"/>
    <n v="37770904"/>
    <s v="Patricia"/>
    <s v="Van Pelt"/>
    <s v="Illinois General Assembly"/>
    <s v=""/>
    <s v="Senator Patricia Van Pelt (D)_x000a_5th District _x0009__x000a__x000a_Springfield Office:_x000a_Senator 5th District_x000a_218A Capitol Building_x000a_Springfield, IL   62706_x000a_(217) 782-6252_x000a_ _x000a_District Office:_x000a_1016 W. Jackson Boulevard_x000a_Chicago, IL  60607_x000a_(312) 888-9191_x000a_(312) 277-3716 FAX"/>
    <s v=""/>
    <s v=""/>
    <s v=""/>
    <s v=""/>
    <s v=""/>
    <s v=""/>
    <s v="(217) 782-6252"/>
    <s v=""/>
    <s v=""/>
    <s v=""/>
    <s v=""/>
    <s v=""/>
    <s v=""/>
    <s v=""/>
    <s v=""/>
    <s v=""/>
    <s v=""/>
    <s v="371609Senator, 371616Newsletter Recipient"/>
    <m/>
    <x v="0"/>
  </r>
  <r>
    <n v="34088067"/>
    <b v="0"/>
    <b v="0"/>
    <b v="0"/>
    <b v="1"/>
    <b v="0"/>
    <b v="1"/>
    <b v="1"/>
    <b v="0"/>
    <b v="0"/>
    <n v="0"/>
    <n v="0"/>
    <m/>
    <d v="2018-01-22T00:00:00"/>
    <n v="32127162"/>
    <d v="2016-08-29T00:00:00"/>
    <m/>
    <m/>
    <s v=""/>
    <b v="0"/>
    <m/>
    <m/>
    <d v="2016-08-29T00:00:00"/>
    <m/>
    <n v="791522"/>
    <b v="1"/>
    <m/>
    <m/>
    <m/>
    <x v="0"/>
    <b v="1"/>
    <n v="34088067"/>
    <s v="Laina"/>
    <s v="VanDyke"/>
    <s v="NextLevel Health"/>
    <s v=""/>
    <s v=""/>
    <s v="Laina.VanDyke@nlhpartners.com"/>
    <s v="312-300-5780 ext 448"/>
    <s v=""/>
    <s v=""/>
    <s v=""/>
    <s v=""/>
    <s v=""/>
    <s v=""/>
    <s v=""/>
    <s v=""/>
    <s v=""/>
    <s v=""/>
    <s v=""/>
    <s v=""/>
    <s v=""/>
    <s v=""/>
    <s v=""/>
    <s v="371616Newsletter Recipient"/>
    <m/>
    <x v="0"/>
  </r>
  <r>
    <n v="37819970"/>
    <b v="0"/>
    <b v="0"/>
    <b v="0"/>
    <b v="1"/>
    <b v="0"/>
    <b v="1"/>
    <b v="1"/>
    <b v="0"/>
    <b v="0"/>
    <n v="0"/>
    <n v="0"/>
    <m/>
    <d v="2017-02-24T00:00:00"/>
    <n v="32127162"/>
    <d v="2017-02-24T00:00:00"/>
    <m/>
    <m/>
    <s v=""/>
    <b v="0"/>
    <m/>
    <m/>
    <d v="2017-02-24T00:00:00"/>
    <m/>
    <n v="791522"/>
    <b v="1"/>
    <m/>
    <m/>
    <m/>
    <x v="0"/>
    <b v="1"/>
    <n v="37819970"/>
    <s v="Stephen"/>
    <s v="Vasanth"/>
    <s v="Physician Home Care Services Plus"/>
    <s v=""/>
    <s v=""/>
    <s v="stephen@phcsplus.com"/>
    <s v=""/>
    <s v=""/>
    <s v=""/>
    <s v=""/>
    <s v=""/>
    <s v=""/>
    <s v=""/>
    <s v=""/>
    <s v=""/>
    <s v=""/>
    <s v=""/>
    <s v=""/>
    <s v=""/>
    <s v=""/>
    <s v=""/>
    <s v=""/>
    <s v="371616Newsletter Recipient"/>
    <m/>
    <x v="0"/>
  </r>
  <r>
    <n v="43418960"/>
    <b v="0"/>
    <b v="0"/>
    <b v="0"/>
    <b v="1"/>
    <b v="0"/>
    <b v="1"/>
    <b v="1"/>
    <b v="0"/>
    <b v="0"/>
    <n v="0"/>
    <n v="0"/>
    <m/>
    <d v="2018-03-13T00:00:00"/>
    <n v="32127162"/>
    <d v="2018-01-22T00:00:00"/>
    <m/>
    <m/>
    <s v=""/>
    <b v="0"/>
    <m/>
    <m/>
    <d v="2018-01-22T00:00:00"/>
    <m/>
    <n v="791522"/>
    <b v="1"/>
    <m/>
    <d v="2018-01-22T00:00:00"/>
    <m/>
    <x v="0"/>
    <b v="1"/>
    <n v="43418960"/>
    <s v="Thomas"/>
    <s v="Vayalil"/>
    <s v="Molina Healthcare of Illinois, Inc."/>
    <s v=""/>
    <s v=""/>
    <s v="Thomas.Vayalil@MolinaHealthCare.com"/>
    <s v=""/>
    <s v=""/>
    <s v=""/>
    <s v=""/>
    <s v=""/>
    <s v=""/>
    <s v=""/>
    <s v=""/>
    <s v=""/>
    <s v=""/>
    <s v=""/>
    <s v=""/>
    <s v=""/>
    <s v=""/>
    <s v=""/>
    <s v=""/>
    <s v="371616Newsletter Recipient, 428788Pharmacy Director Committee"/>
    <m/>
    <x v="0"/>
  </r>
  <r>
    <n v="39829640"/>
    <b v="0"/>
    <b v="0"/>
    <b v="0"/>
    <b v="1"/>
    <b v="0"/>
    <b v="1"/>
    <b v="1"/>
    <b v="0"/>
    <b v="0"/>
    <n v="0"/>
    <n v="0"/>
    <m/>
    <d v="2018-02-12T00:00:00"/>
    <n v="32127162"/>
    <d v="2017-07-07T00:00:00"/>
    <m/>
    <m/>
    <s v=""/>
    <b v="0"/>
    <m/>
    <m/>
    <d v="2017-07-07T00:00:00"/>
    <m/>
    <n v="791522"/>
    <b v="1"/>
    <m/>
    <m/>
    <m/>
    <x v="0"/>
    <b v="1"/>
    <n v="39829640"/>
    <s v="Luisa"/>
    <s v="Velazquez"/>
    <s v="Rush University Medical Center"/>
    <s v=""/>
    <s v=""/>
    <s v="luisa_a_velazquez@rush.edu"/>
    <s v=""/>
    <s v=""/>
    <s v=""/>
    <s v=""/>
    <s v=""/>
    <s v=""/>
    <s v=""/>
    <s v=""/>
    <s v=""/>
    <s v=""/>
    <s v=""/>
    <s v=""/>
    <s v=""/>
    <s v=""/>
    <s v=""/>
    <s v=""/>
    <s v="371616Newsletter Recipient"/>
    <m/>
    <x v="0"/>
  </r>
  <r>
    <n v="42847019"/>
    <b v="0"/>
    <b v="0"/>
    <b v="0"/>
    <b v="1"/>
    <b v="0"/>
    <b v="1"/>
    <b v="1"/>
    <b v="0"/>
    <b v="0"/>
    <n v="0"/>
    <n v="0"/>
    <m/>
    <d v="2018-05-29T00:00:00"/>
    <n v="32127162"/>
    <d v="2017-12-06T00:00:00"/>
    <m/>
    <m/>
    <s v=""/>
    <b v="0"/>
    <m/>
    <m/>
    <d v="2017-12-06T00:00:00"/>
    <m/>
    <n v="791522"/>
    <b v="1"/>
    <m/>
    <d v="2017-12-06T00:00:00"/>
    <m/>
    <x v="0"/>
    <b v="1"/>
    <n v="42847019"/>
    <s v="Danielle"/>
    <s v="Venus"/>
    <s v="Blue Cross Blue Shield of Illinois"/>
    <s v=""/>
    <s v=""/>
    <s v="venusd@bcbsil.com"/>
    <s v=""/>
    <s v=""/>
    <s v=""/>
    <s v=""/>
    <s v=""/>
    <s v=""/>
    <s v=""/>
    <s v=""/>
    <s v=""/>
    <s v=""/>
    <s v=""/>
    <s v=""/>
    <s v=""/>
    <s v=""/>
    <s v=""/>
    <s v=""/>
    <s v="371616Newsletter Recipient, 372297Operations Committee, 447857HFS Ops Workgroup"/>
    <m/>
    <x v="0"/>
  </r>
  <r>
    <n v="46435961"/>
    <b v="0"/>
    <b v="0"/>
    <b v="0"/>
    <b v="1"/>
    <b v="0"/>
    <b v="1"/>
    <b v="1"/>
    <b v="0"/>
    <b v="0"/>
    <n v="0"/>
    <n v="0"/>
    <m/>
    <d v="2018-06-21T00:00:00"/>
    <n v="32127162"/>
    <d v="2018-06-21T00:00:00"/>
    <m/>
    <m/>
    <s v=""/>
    <b v="0"/>
    <m/>
    <m/>
    <d v="2018-06-21T00:00:00"/>
    <m/>
    <n v="791522"/>
    <b v="1"/>
    <m/>
    <d v="2018-06-21T00:00:00"/>
    <m/>
    <x v="0"/>
    <b v="1"/>
    <n v="46435961"/>
    <s v="Brian"/>
    <s v="Verban"/>
    <s v="Tunstall"/>
    <s v=""/>
    <s v=""/>
    <s v="brian.verban@tunstall.com"/>
    <s v=""/>
    <s v=""/>
    <s v=""/>
    <s v=""/>
    <s v=""/>
    <s v=""/>
    <s v=""/>
    <s v="Tunstall"/>
    <s v=""/>
    <s v=""/>
    <s v=""/>
    <s v=""/>
    <s v=""/>
    <s v=""/>
    <s v=""/>
    <s v=""/>
    <s v="371616Newsletter Recipient"/>
    <m/>
    <x v="0"/>
  </r>
  <r>
    <n v="34514395"/>
    <b v="0"/>
    <b v="0"/>
    <b v="0"/>
    <b v="1"/>
    <b v="0"/>
    <b v="1"/>
    <b v="1"/>
    <b v="0"/>
    <b v="0"/>
    <n v="0"/>
    <n v="0"/>
    <m/>
    <d v="2017-02-24T00:00:00"/>
    <n v="32127162"/>
    <d v="2016-09-16T00:00:00"/>
    <m/>
    <m/>
    <s v=""/>
    <b v="0"/>
    <m/>
    <m/>
    <d v="2016-09-15T00:00:00"/>
    <m/>
    <n v="791522"/>
    <b v="1"/>
    <m/>
    <m/>
    <m/>
    <x v="0"/>
    <b v="1"/>
    <n v="34514395"/>
    <s v="Wendy"/>
    <s v="Verner"/>
    <s v="IlliniCare Health"/>
    <s v=""/>
    <s v=""/>
    <s v="WVerner@centene.com"/>
    <s v="512-406-7200 ext 67401"/>
    <s v=""/>
    <s v=""/>
    <s v=""/>
    <s v=""/>
    <s v=""/>
    <s v=""/>
    <s v=""/>
    <s v=""/>
    <s v=""/>
    <s v=""/>
    <s v=""/>
    <s v=""/>
    <s v=""/>
    <s v=""/>
    <s v=""/>
    <s v="335700Behavioral Health - Vendor Contact, 371616Newsletter Recipient"/>
    <m/>
    <x v="0"/>
  </r>
  <r>
    <n v="46436612"/>
    <b v="0"/>
    <b v="0"/>
    <b v="0"/>
    <b v="1"/>
    <b v="0"/>
    <b v="1"/>
    <b v="1"/>
    <b v="0"/>
    <b v="0"/>
    <n v="0"/>
    <n v="0"/>
    <m/>
    <d v="2018-06-21T00:00:00"/>
    <n v="32127162"/>
    <d v="2018-06-21T00:00:00"/>
    <m/>
    <m/>
    <s v=""/>
    <b v="0"/>
    <m/>
    <m/>
    <d v="2018-06-21T00:00:00"/>
    <m/>
    <n v="791522"/>
    <b v="1"/>
    <m/>
    <d v="2018-06-21T00:00:00"/>
    <m/>
    <x v="0"/>
    <b v="1"/>
    <n v="46436612"/>
    <s v="Karen"/>
    <s v="Vignola"/>
    <s v="Conifer Health Solutions"/>
    <s v=""/>
    <s v=""/>
    <s v="karen.vigola@coniferhealth.com"/>
    <s v=""/>
    <s v=""/>
    <s v=""/>
    <s v=""/>
    <s v=""/>
    <s v=""/>
    <s v=""/>
    <s v="Conifer Health Solutions"/>
    <s v=""/>
    <s v=""/>
    <s v=""/>
    <s v=""/>
    <s v=""/>
    <s v=""/>
    <s v=""/>
    <s v=""/>
    <s v="371616Newsletter Recipient"/>
    <m/>
    <x v="0"/>
  </r>
  <r>
    <n v="43415985"/>
    <b v="0"/>
    <b v="0"/>
    <b v="0"/>
    <b v="1"/>
    <b v="0"/>
    <b v="1"/>
    <b v="1"/>
    <b v="0"/>
    <b v="0"/>
    <n v="0"/>
    <n v="0"/>
    <m/>
    <d v="2018-05-29T00:00:00"/>
    <n v="32127162"/>
    <d v="2018-01-22T00:00:00"/>
    <m/>
    <m/>
    <s v=""/>
    <b v="0"/>
    <m/>
    <m/>
    <d v="2018-01-22T00:00:00"/>
    <m/>
    <n v="791522"/>
    <b v="1"/>
    <m/>
    <d v="2018-01-22T00:00:00"/>
    <m/>
    <x v="0"/>
    <b v="1"/>
    <n v="43415985"/>
    <s v="Amber"/>
    <s v="Villanova"/>
    <s v="Harmony Health Plan of Illinois - A WellCare Company"/>
    <s v=""/>
    <s v=""/>
    <s v="Amber.Villanueva@wellcare.com"/>
    <s v=""/>
    <s v=""/>
    <s v=""/>
    <s v=""/>
    <s v=""/>
    <s v=""/>
    <s v=""/>
    <s v=""/>
    <s v=""/>
    <s v=""/>
    <s v=""/>
    <s v=""/>
    <s v=""/>
    <s v=""/>
    <s v=""/>
    <s v=""/>
    <s v="371616Newsletter Recipient, 372297Operations Committee, 447857HFS Ops Workgroup"/>
    <m/>
    <x v="0"/>
  </r>
  <r>
    <n v="37822609"/>
    <b v="0"/>
    <b v="0"/>
    <b v="0"/>
    <b v="1"/>
    <b v="0"/>
    <b v="1"/>
    <b v="1"/>
    <b v="0"/>
    <b v="0"/>
    <n v="0"/>
    <n v="0"/>
    <m/>
    <d v="2017-02-24T00:00:00"/>
    <n v="32127162"/>
    <d v="2017-02-24T00:00:00"/>
    <m/>
    <m/>
    <s v=""/>
    <b v="0"/>
    <m/>
    <m/>
    <d v="2017-02-24T00:00:00"/>
    <m/>
    <n v="791522"/>
    <b v="1"/>
    <m/>
    <m/>
    <m/>
    <x v="0"/>
    <b v="1"/>
    <n v="37822609"/>
    <s v="Ram"/>
    <s v="Villavalam"/>
    <s v=""/>
    <s v=""/>
    <s v=""/>
    <s v="ram.villivalam@seiuhcil.org"/>
    <s v=""/>
    <s v=""/>
    <s v=""/>
    <s v=""/>
    <s v=""/>
    <s v=""/>
    <s v=""/>
    <s v=""/>
    <s v=""/>
    <s v=""/>
    <s v=""/>
    <s v=""/>
    <s v=""/>
    <s v=""/>
    <s v=""/>
    <s v=""/>
    <s v="371616Newsletter Recipient"/>
    <m/>
    <x v="0"/>
  </r>
  <r>
    <n v="34087582"/>
    <b v="0"/>
    <b v="0"/>
    <b v="0"/>
    <b v="1"/>
    <b v="0"/>
    <b v="1"/>
    <b v="1"/>
    <b v="0"/>
    <b v="0"/>
    <n v="0"/>
    <n v="0"/>
    <m/>
    <d v="2018-06-26T00:00:00"/>
    <n v="32127162"/>
    <d v="2016-08-29T00:00:00"/>
    <m/>
    <m/>
    <s v=""/>
    <b v="0"/>
    <m/>
    <m/>
    <d v="2016-08-29T00:00:00"/>
    <m/>
    <n v="791522"/>
    <b v="1"/>
    <m/>
    <m/>
    <m/>
    <x v="0"/>
    <b v="1"/>
    <n v="34087582"/>
    <s v="David"/>
    <s v="Vinkler"/>
    <s v="Molina Healthcare of Illinois, Inc."/>
    <s v=""/>
    <s v=""/>
    <s v="David.Vinkler@molinahealthcare.com"/>
    <s v="888-562-5442 ext 163903"/>
    <s v=""/>
    <s v=""/>
    <s v=""/>
    <s v=""/>
    <s v=""/>
    <s v=""/>
    <s v=""/>
    <s v=""/>
    <s v=""/>
    <s v=""/>
    <s v=""/>
    <s v=""/>
    <s v=""/>
    <s v=""/>
    <s v=""/>
    <s v="335736Provider Relations - Committee Members, 371616Newsletter Recipient, 372293Quality Committee, 372294Finance Committee, 372295Board of Directors/General Distribution List, 372296Legislative Committee, 372297Operations Committee, 372298Operations Transportation Subcommittee, 372306Marketing Committee, 372312IHA-IAMHP Working Group, 420889Executive Committee, 420911IAMHP Leadership, 428250Hospital Assessment, 428788Pharmacy Director Committee, 441580Compliance Committee, 443813Discharge Planning, 443814Billing Working Group, 447857HFS Ops Workgroup"/>
    <m/>
    <x v="0"/>
  </r>
  <r>
    <n v="39459603"/>
    <b v="0"/>
    <b v="0"/>
    <b v="0"/>
    <b v="1"/>
    <b v="0"/>
    <b v="1"/>
    <b v="1"/>
    <b v="0"/>
    <b v="0"/>
    <n v="0"/>
    <n v="0"/>
    <m/>
    <d v="2018-02-12T00:00:00"/>
    <n v="32127162"/>
    <d v="2017-06-26T00:00:00"/>
    <m/>
    <m/>
    <s v=""/>
    <b v="0"/>
    <m/>
    <m/>
    <d v="2017-06-26T00:00:00"/>
    <m/>
    <n v="791522"/>
    <b v="1"/>
    <m/>
    <m/>
    <m/>
    <x v="0"/>
    <b v="1"/>
    <n v="39459603"/>
    <s v="Stephanie"/>
    <s v="Vojas"/>
    <s v=""/>
    <s v=""/>
    <s v=""/>
    <s v="snvojas@michaelbeststrategies.com"/>
    <s v=""/>
    <s v=""/>
    <s v=""/>
    <s v=""/>
    <s v="618.960.6164"/>
    <s v="312.596.5837"/>
    <s v="312.222.0818"/>
    <s v=""/>
    <s v="Senior Associate"/>
    <s v=""/>
    <s v=""/>
    <s v=""/>
    <s v=""/>
    <s v=""/>
    <s v=""/>
    <s v=""/>
    <s v="372296Legislative Committee"/>
    <m/>
    <x v="0"/>
  </r>
  <r>
    <n v="34087290"/>
    <b v="0"/>
    <b v="0"/>
    <b v="0"/>
    <b v="1"/>
    <b v="0"/>
    <b v="1"/>
    <b v="1"/>
    <b v="0"/>
    <b v="0"/>
    <n v="0"/>
    <n v="0"/>
    <m/>
    <d v="2018-01-22T00:00:00"/>
    <n v="32127162"/>
    <d v="2016-08-29T00:00:00"/>
    <m/>
    <m/>
    <s v=""/>
    <b v="0"/>
    <m/>
    <m/>
    <d v="2016-08-29T00:00:00"/>
    <m/>
    <n v="791522"/>
    <b v="1"/>
    <m/>
    <m/>
    <m/>
    <x v="0"/>
    <b v="1"/>
    <n v="34087290"/>
    <s v="James"/>
    <s v="Voss"/>
    <s v="Meridian Health Plan"/>
    <s v=""/>
    <s v=""/>
    <s v="James.Voss@mhplan.com"/>
    <s v="313-324-9086"/>
    <s v=""/>
    <s v=""/>
    <s v=""/>
    <s v=""/>
    <s v=""/>
    <s v=""/>
    <s v=""/>
    <s v=""/>
    <s v=""/>
    <s v=""/>
    <s v=""/>
    <s v=""/>
    <s v=""/>
    <s v=""/>
    <s v=""/>
    <s v="371616Newsletter Recipient"/>
    <m/>
    <x v="0"/>
  </r>
  <r>
    <n v="34021552"/>
    <b v="0"/>
    <b v="0"/>
    <b v="0"/>
    <b v="1"/>
    <b v="0"/>
    <b v="1"/>
    <b v="1"/>
    <b v="0"/>
    <b v="0"/>
    <n v="0"/>
    <n v="0"/>
    <m/>
    <d v="2018-06-29T00:00:00"/>
    <n v="32127162"/>
    <d v="2016-08-22T00:00:00"/>
    <m/>
    <m/>
    <s v=""/>
    <b v="0"/>
    <m/>
    <m/>
    <d v="2016-08-22T00:00:00"/>
    <m/>
    <n v="791522"/>
    <b v="1"/>
    <m/>
    <m/>
    <m/>
    <x v="0"/>
    <b v="1"/>
    <n v="34021552"/>
    <s v="Gail"/>
    <s v="Vuckovich"/>
    <s v="CountyCare Health Plan"/>
    <s v=""/>
    <s v=""/>
    <s v="gail.vuckovich@cookcountyhhs.org"/>
    <s v=""/>
    <s v=""/>
    <s v=""/>
    <s v=""/>
    <s v=""/>
    <s v=""/>
    <s v=""/>
    <s v="CountyCare Health Plan"/>
    <s v=""/>
    <s v=""/>
    <s v=""/>
    <s v=""/>
    <s v=""/>
    <s v=""/>
    <s v=""/>
    <s v=""/>
    <s v="335736Provider Relations - Committee Members"/>
    <m/>
    <x v="0"/>
  </r>
  <r>
    <n v="34090659"/>
    <b v="0"/>
    <b v="0"/>
    <b v="0"/>
    <b v="1"/>
    <b v="0"/>
    <b v="1"/>
    <b v="1"/>
    <b v="0"/>
    <b v="0"/>
    <n v="0"/>
    <n v="0"/>
    <m/>
    <d v="2018-01-29T00:00:00"/>
    <n v="32127162"/>
    <d v="2016-08-29T00:00:00"/>
    <m/>
    <m/>
    <s v=""/>
    <b v="0"/>
    <m/>
    <m/>
    <d v="2016-08-29T00:00:00"/>
    <m/>
    <n v="791522"/>
    <b v="1"/>
    <m/>
    <m/>
    <m/>
    <x v="0"/>
    <b v="1"/>
    <n v="34090659"/>
    <s v="Gary"/>
    <s v="Wagner"/>
    <s v="Humana"/>
    <s v=""/>
    <s v=""/>
    <s v="Gary.wagner@beaconhealthoptions.com"/>
    <s v=""/>
    <s v=""/>
    <s v=""/>
    <s v=""/>
    <s v=""/>
    <s v=""/>
    <s v=""/>
    <s v=""/>
    <s v=""/>
    <s v=""/>
    <s v=""/>
    <s v=""/>
    <s v=""/>
    <s v=""/>
    <s v=""/>
    <s v=""/>
    <s v="371616Newsletter Recipient"/>
    <m/>
    <x v="0"/>
  </r>
  <r>
    <n v="37779769"/>
    <b v="0"/>
    <b v="0"/>
    <b v="0"/>
    <b v="1"/>
    <b v="0"/>
    <b v="1"/>
    <b v="1"/>
    <b v="0"/>
    <b v="0"/>
    <n v="0"/>
    <n v="0"/>
    <m/>
    <d v="2017-02-24T00:00:00"/>
    <n v="32127162"/>
    <d v="2017-02-21T00:00:00"/>
    <m/>
    <m/>
    <s v=""/>
    <b v="0"/>
    <m/>
    <m/>
    <d v="2017-02-20T00:00:00"/>
    <m/>
    <n v="791522"/>
    <b v="1"/>
    <m/>
    <m/>
    <m/>
    <x v="0"/>
    <b v="1"/>
    <n v="37779769"/>
    <s v="Litesa"/>
    <s v="Wallace"/>
    <s v="Illinois General Assembly"/>
    <s v=""/>
    <s v="Representative Litesa E. Wallace (D)_x000a_67th District_x0009_ _x0009__x000a__x000a_Springfield Office:_x000a_280-S Stratton Office Building_x000a_Springfield, IL   62706_x000a_(217) 782-3167_x000a__x000a_District Office:_x000a_200 S. Wyman_x000a_Suite 304_x000a_Rockford, IL  61101_x000a_(815) 987-7433_x000a_(815) 987-7225 FAX"/>
    <s v="Litesa@StateRepWallace.com"/>
    <s v=""/>
    <s v=""/>
    <s v=""/>
    <s v=""/>
    <s v=""/>
    <s v=""/>
    <s v=""/>
    <s v=""/>
    <s v=""/>
    <s v=""/>
    <s v=""/>
    <s v=""/>
    <s v=""/>
    <s v=""/>
    <s v=""/>
    <s v=""/>
    <s v="371616Newsletter Recipient, 371627House of Representatives"/>
    <m/>
    <x v="0"/>
  </r>
  <r>
    <n v="46435909"/>
    <b v="0"/>
    <b v="0"/>
    <b v="0"/>
    <b v="1"/>
    <b v="0"/>
    <b v="1"/>
    <b v="1"/>
    <b v="0"/>
    <b v="0"/>
    <n v="0"/>
    <n v="0"/>
    <m/>
    <d v="2018-06-21T00:00:00"/>
    <n v="32127162"/>
    <d v="2018-06-21T00:00:00"/>
    <m/>
    <m/>
    <s v=""/>
    <b v="0"/>
    <m/>
    <m/>
    <d v="2018-06-21T00:00:00"/>
    <m/>
    <n v="791522"/>
    <b v="1"/>
    <m/>
    <d v="2018-06-21T00:00:00"/>
    <m/>
    <x v="0"/>
    <b v="1"/>
    <n v="46435909"/>
    <s v="Paula"/>
    <s v="Wallendorf"/>
    <s v="Jersey County Health Department"/>
    <s v=""/>
    <s v=""/>
    <s v="pwallendorf@jerseycountyhealth.org"/>
    <s v=""/>
    <s v=""/>
    <s v=""/>
    <s v=""/>
    <s v=""/>
    <s v=""/>
    <s v=""/>
    <s v="Jersey County Health Department"/>
    <s v=""/>
    <s v=""/>
    <s v=""/>
    <s v=""/>
    <s v=""/>
    <s v=""/>
    <s v=""/>
    <s v=""/>
    <s v="371616Newsletter Recipient"/>
    <m/>
    <x v="0"/>
  </r>
  <r>
    <n v="37779773"/>
    <b v="0"/>
    <b v="0"/>
    <b v="0"/>
    <b v="1"/>
    <b v="0"/>
    <b v="1"/>
    <b v="1"/>
    <b v="0"/>
    <b v="0"/>
    <n v="0"/>
    <n v="0"/>
    <m/>
    <d v="2017-02-24T00:00:00"/>
    <n v="32127162"/>
    <d v="2017-02-21T00:00:00"/>
    <m/>
    <m/>
    <s v=""/>
    <b v="0"/>
    <m/>
    <m/>
    <d v="2017-02-20T00:00:00"/>
    <m/>
    <n v="791522"/>
    <b v="1"/>
    <m/>
    <m/>
    <m/>
    <x v="0"/>
    <b v="1"/>
    <n v="37779773"/>
    <s v="Lawrence"/>
    <s v="Walsh, Jr."/>
    <s v="Illinois General Assembly"/>
    <s v=""/>
    <s v="Representative Lawrence Walsh, Jr. (D)_x000a_86th District_x0009__x000a__x000a_Springfield Office:_x000a_269-S Stratton Office Building_x000a_Springfield, IL   62706_x000a_(217) 782-8090_x000a_(217) 558-4502 FAX_x000a__x000a_District Office:_x000a_121 Springfield Avenue_x000a_Joliet, IL  60435_x000a_(815) 730-8600_x000a_(815) 730-8121 FAX"/>
    <s v="statereplarrywalshjr@gmail.com"/>
    <s v=""/>
    <s v=""/>
    <s v=""/>
    <s v=""/>
    <s v=""/>
    <s v=""/>
    <s v=""/>
    <s v=""/>
    <s v=""/>
    <s v=""/>
    <s v=""/>
    <s v=""/>
    <s v=""/>
    <s v=""/>
    <s v=""/>
    <s v=""/>
    <s v="371616Newsletter Recipient, 371627House of Representatives"/>
    <m/>
    <x v="0"/>
  </r>
  <r>
    <n v="43418934"/>
    <b v="0"/>
    <b v="0"/>
    <b v="0"/>
    <b v="1"/>
    <b v="0"/>
    <b v="1"/>
    <b v="1"/>
    <b v="0"/>
    <b v="0"/>
    <n v="0"/>
    <n v="0"/>
    <m/>
    <d v="2018-03-26T00:00:00"/>
    <n v="32127162"/>
    <d v="2018-01-22T00:00:00"/>
    <m/>
    <m/>
    <s v=""/>
    <b v="0"/>
    <m/>
    <m/>
    <d v="2018-01-22T00:00:00"/>
    <m/>
    <n v="791522"/>
    <b v="1"/>
    <m/>
    <d v="2018-01-22T00:00:00"/>
    <m/>
    <x v="0"/>
    <b v="1"/>
    <n v="43418934"/>
    <s v="Jennifer"/>
    <s v="Walters"/>
    <s v="Molina Healthcare of Illinois, Inc."/>
    <s v=""/>
    <s v=""/>
    <s v="Jennifer.Walters@MolinaHealthCare.com"/>
    <s v=""/>
    <s v=""/>
    <s v=""/>
    <s v=""/>
    <s v=""/>
    <s v=""/>
    <s v=""/>
    <s v=""/>
    <s v=""/>
    <s v=""/>
    <s v=""/>
    <s v=""/>
    <s v=""/>
    <s v=""/>
    <s v=""/>
    <s v=""/>
    <s v="371616Newsletter Recipient, 372314Pharmacy Director, 420970Pharmacy/Pharmaceuticals - Contracts, 420971Pharmacy/Pharmaceuticals - Claims &amp; Billing, 420972Pharmacy/Pharmaceuticals - Care Coordination, 428788Pharmacy Director Committee"/>
    <s v="10633525Contracts, 10633526Claims/Billing, 10633527Care Coordination"/>
    <x v="0"/>
  </r>
  <r>
    <n v="39829646"/>
    <b v="0"/>
    <b v="0"/>
    <b v="0"/>
    <b v="1"/>
    <b v="0"/>
    <b v="1"/>
    <b v="1"/>
    <b v="0"/>
    <b v="0"/>
    <n v="0"/>
    <n v="0"/>
    <m/>
    <d v="2018-02-12T00:00:00"/>
    <n v="32127162"/>
    <d v="2017-07-07T00:00:00"/>
    <m/>
    <m/>
    <s v=""/>
    <b v="0"/>
    <m/>
    <m/>
    <d v="2017-07-07T00:00:00"/>
    <m/>
    <n v="791522"/>
    <b v="1"/>
    <m/>
    <m/>
    <m/>
    <x v="0"/>
    <b v="1"/>
    <n v="39829646"/>
    <s v="Krista"/>
    <s v="Ward"/>
    <s v="Express Scripts"/>
    <s v=""/>
    <s v=""/>
    <s v="kmward@express-scripts.com"/>
    <s v=""/>
    <s v=""/>
    <s v=""/>
    <s v=""/>
    <s v=""/>
    <s v=""/>
    <s v=""/>
    <s v=""/>
    <s v=""/>
    <s v=""/>
    <s v=""/>
    <s v=""/>
    <s v=""/>
    <s v=""/>
    <s v=""/>
    <s v=""/>
    <s v="371616Newsletter Recipient"/>
    <m/>
    <x v="0"/>
  </r>
  <r>
    <n v="42782971"/>
    <b v="0"/>
    <b v="0"/>
    <b v="0"/>
    <b v="1"/>
    <b v="0"/>
    <b v="1"/>
    <b v="1"/>
    <b v="0"/>
    <b v="0"/>
    <n v="0"/>
    <n v="0"/>
    <m/>
    <d v="2017-11-29T00:00:00"/>
    <n v="32127162"/>
    <d v="2017-11-29T00:00:00"/>
    <m/>
    <m/>
    <s v=""/>
    <b v="0"/>
    <m/>
    <m/>
    <d v="2017-11-29T00:00:00"/>
    <m/>
    <n v="791522"/>
    <b v="1"/>
    <m/>
    <d v="2017-11-29T00:00:00"/>
    <m/>
    <x v="0"/>
    <b v="1"/>
    <n v="42782971"/>
    <s v="Caroline"/>
    <s v="Warner"/>
    <s v="Pediatric Group LLC"/>
    <s v=""/>
    <s v=""/>
    <s v="caroline@pediatricgroupllc.com"/>
    <s v=""/>
    <s v=""/>
    <s v=""/>
    <s v=""/>
    <s v=""/>
    <s v=""/>
    <s v=""/>
    <s v="Pediatric Group LLC"/>
    <s v=""/>
    <s v=""/>
    <s v=""/>
    <s v=""/>
    <s v=""/>
    <s v=""/>
    <s v=""/>
    <s v=""/>
    <s v="371616Newsletter Recipient"/>
    <m/>
    <x v="0"/>
  </r>
  <r>
    <n v="43297929"/>
    <b v="0"/>
    <b v="0"/>
    <b v="0"/>
    <b v="1"/>
    <b v="0"/>
    <b v="1"/>
    <b v="1"/>
    <b v="0"/>
    <b v="0"/>
    <n v="0"/>
    <n v="0"/>
    <m/>
    <d v="2018-01-17T00:00:00"/>
    <n v="32127162"/>
    <d v="2018-01-17T00:00:00"/>
    <m/>
    <m/>
    <s v=""/>
    <b v="0"/>
    <m/>
    <m/>
    <d v="2018-01-17T00:00:00"/>
    <m/>
    <n v="791522"/>
    <b v="1"/>
    <m/>
    <d v="2018-01-17T00:00:00"/>
    <m/>
    <x v="0"/>
    <b v="1"/>
    <n v="43297929"/>
    <s v="Josh"/>
    <s v="Warren"/>
    <s v="Blue Cross Blue Shield of Illinois"/>
    <s v=""/>
    <s v=""/>
    <s v="josh_warren@bcbsil.com"/>
    <s v=""/>
    <s v=""/>
    <s v=""/>
    <s v=""/>
    <s v=""/>
    <s v=""/>
    <s v=""/>
    <s v=""/>
    <s v=""/>
    <s v=""/>
    <s v=""/>
    <s v=""/>
    <s v=""/>
    <s v=""/>
    <s v=""/>
    <s v=""/>
    <s v="371616Newsletter Recipient"/>
    <m/>
    <x v="0"/>
  </r>
  <r>
    <n v="37819973"/>
    <b v="0"/>
    <b v="0"/>
    <b v="0"/>
    <b v="1"/>
    <b v="0"/>
    <b v="1"/>
    <b v="1"/>
    <b v="0"/>
    <b v="0"/>
    <n v="0"/>
    <n v="0"/>
    <m/>
    <d v="2017-02-24T00:00:00"/>
    <n v="32127162"/>
    <d v="2017-02-24T00:00:00"/>
    <m/>
    <m/>
    <s v=""/>
    <b v="0"/>
    <m/>
    <m/>
    <d v="2017-02-24T00:00:00"/>
    <m/>
    <n v="791522"/>
    <b v="1"/>
    <m/>
    <m/>
    <m/>
    <x v="0"/>
    <b v="1"/>
    <n v="37819973"/>
    <s v="Sandra"/>
    <s v="Watts"/>
    <s v="Molina Healthcare of Illinois, Inc."/>
    <s v=""/>
    <s v=""/>
    <s v="Sandra.Watts@MolinaHealthCare.com"/>
    <s v=""/>
    <s v=""/>
    <s v=""/>
    <s v=""/>
    <s v=""/>
    <s v=""/>
    <s v=""/>
    <s v=""/>
    <s v=""/>
    <s v=""/>
    <s v=""/>
    <s v=""/>
    <s v=""/>
    <s v=""/>
    <s v=""/>
    <s v=""/>
    <s v="371616Newsletter Recipient"/>
    <m/>
    <x v="0"/>
  </r>
  <r>
    <n v="37770908"/>
    <b v="0"/>
    <b v="0"/>
    <b v="0"/>
    <b v="1"/>
    <b v="0"/>
    <b v="1"/>
    <b v="1"/>
    <b v="0"/>
    <b v="0"/>
    <n v="0"/>
    <n v="0"/>
    <m/>
    <d v="2017-02-24T00:00:00"/>
    <n v="32127162"/>
    <d v="2017-02-20T00:00:00"/>
    <m/>
    <m/>
    <s v=""/>
    <b v="0"/>
    <m/>
    <m/>
    <d v="2017-02-20T00:00:00"/>
    <m/>
    <n v="791522"/>
    <b v="1"/>
    <m/>
    <m/>
    <m/>
    <x v="0"/>
    <b v="1"/>
    <n v="37770908"/>
    <s v="Chuck"/>
    <s v="Weaver"/>
    <s v="Illinois General Assembly"/>
    <s v=""/>
    <s v="Senator Chuck Weaver (R)_x000a_37th District_x000a__x000a_Springfield Office:_x000a_Senator 37th District_x000a_M103C Capitol Building_x000a_Springfield, IL   62706_x000a_(217) 782-1942_x000a_(217) 782-9586 FAX_x000a_ _x000a_District Office:_x000a_5415 University St._x000a_Suite 105_x000a_Peoria, IL  61614_x000a_(309) 693-4921_x000a_(309) 693-4923 FAX"/>
    <s v=""/>
    <s v=""/>
    <s v=""/>
    <s v=""/>
    <s v=""/>
    <s v=""/>
    <s v="(217) 782-1942"/>
    <s v=""/>
    <s v=""/>
    <s v=""/>
    <s v=""/>
    <s v=""/>
    <s v=""/>
    <s v=""/>
    <s v=""/>
    <s v=""/>
    <s v=""/>
    <s v="371609Senator, 371616Newsletter Recipient"/>
    <m/>
    <x v="0"/>
  </r>
  <r>
    <n v="34033565"/>
    <b v="0"/>
    <b v="0"/>
    <b v="0"/>
    <b v="1"/>
    <b v="0"/>
    <b v="1"/>
    <b v="1"/>
    <b v="0"/>
    <b v="0"/>
    <n v="0"/>
    <n v="0"/>
    <m/>
    <d v="2017-02-24T00:00:00"/>
    <n v="32127162"/>
    <d v="2016-08-23T00:00:00"/>
    <m/>
    <m/>
    <s v=""/>
    <b v="0"/>
    <m/>
    <m/>
    <d v="2016-08-23T00:00:00"/>
    <m/>
    <n v="791522"/>
    <b v="1"/>
    <m/>
    <m/>
    <m/>
    <x v="0"/>
    <b v="1"/>
    <n v="34033565"/>
    <s v="Ronald"/>
    <s v="Weeden"/>
    <s v="Humana"/>
    <s v=""/>
    <s v=""/>
    <s v="RWeeden@humana.com"/>
    <s v="813-281-6055"/>
    <s v=""/>
    <s v=""/>
    <s v=""/>
    <s v=""/>
    <s v=""/>
    <s v=""/>
    <s v=""/>
    <s v=""/>
    <s v=""/>
    <s v=""/>
    <s v=""/>
    <s v=""/>
    <s v=""/>
    <s v=""/>
    <s v=""/>
    <s v="335742Chief Financial Officer, 371616Newsletter Recipient"/>
    <m/>
    <x v="0"/>
  </r>
  <r>
    <n v="37779775"/>
    <b v="0"/>
    <b v="0"/>
    <b v="0"/>
    <b v="1"/>
    <b v="0"/>
    <b v="1"/>
    <b v="1"/>
    <b v="0"/>
    <b v="0"/>
    <n v="0"/>
    <n v="0"/>
    <m/>
    <d v="2017-02-24T00:00:00"/>
    <n v="32127162"/>
    <d v="2017-02-21T00:00:00"/>
    <m/>
    <m/>
    <s v=""/>
    <b v="0"/>
    <m/>
    <m/>
    <d v="2017-02-20T00:00:00"/>
    <m/>
    <n v="791522"/>
    <b v="1"/>
    <m/>
    <m/>
    <m/>
    <x v="0"/>
    <b v="1"/>
    <n v="37779775"/>
    <s v="Grant"/>
    <s v="Wehrli"/>
    <s v="Illinois General Assembly"/>
    <s v=""/>
    <s v="Representative Grant Wehrli (R)_x000a_41st District _x0009__x000a__x000a_Springfield Office:_x000a_238-W Stratton Office Building_x000a_Springfield, IL   62706_x000a_(217) 782-6507_x000a__x000a_District Office:_x000a_55 S. Main St._x000a_Suite 383_x000a_Naperville , IL  60540_x000a_(630) 696-4160"/>
    <s v="41districtdirector@gmail.com"/>
    <s v=""/>
    <s v=""/>
    <s v=""/>
    <s v=""/>
    <s v=""/>
    <s v=""/>
    <s v=""/>
    <s v=""/>
    <s v=""/>
    <s v=""/>
    <s v=""/>
    <s v=""/>
    <s v=""/>
    <s v=""/>
    <s v=""/>
    <s v=""/>
    <s v="371616Newsletter Recipient, 371627House of Representatives"/>
    <m/>
    <x v="0"/>
  </r>
  <r>
    <n v="37819988"/>
    <b v="0"/>
    <b v="0"/>
    <b v="0"/>
    <b v="1"/>
    <b v="0"/>
    <b v="1"/>
    <b v="1"/>
    <b v="0"/>
    <b v="0"/>
    <n v="0"/>
    <n v="0"/>
    <m/>
    <d v="2017-02-24T00:00:00"/>
    <n v="32127162"/>
    <d v="2017-02-24T00:00:00"/>
    <m/>
    <m/>
    <s v=""/>
    <b v="0"/>
    <m/>
    <m/>
    <d v="2017-02-24T00:00:00"/>
    <m/>
    <n v="791522"/>
    <b v="1"/>
    <m/>
    <m/>
    <m/>
    <x v="0"/>
    <b v="1"/>
    <n v="37819988"/>
    <s v="Chuck"/>
    <s v="Weis"/>
    <s v="Mount Sinai Hospital"/>
    <s v=""/>
    <s v=""/>
    <s v="chuck.weis@sinai.org"/>
    <s v=""/>
    <s v=""/>
    <s v=""/>
    <s v=""/>
    <s v=""/>
    <s v=""/>
    <s v=""/>
    <s v=""/>
    <s v="Chief Financial Officer"/>
    <s v=""/>
    <s v=""/>
    <s v=""/>
    <s v=""/>
    <s v=""/>
    <s v=""/>
    <s v=""/>
    <s v="371616Newsletter Recipient"/>
    <m/>
    <x v="0"/>
  </r>
  <r>
    <n v="37779777"/>
    <b v="0"/>
    <b v="0"/>
    <b v="0"/>
    <b v="1"/>
    <b v="0"/>
    <b v="1"/>
    <b v="1"/>
    <b v="0"/>
    <b v="0"/>
    <n v="0"/>
    <n v="0"/>
    <m/>
    <d v="2017-02-24T00:00:00"/>
    <n v="32127162"/>
    <d v="2017-02-21T00:00:00"/>
    <m/>
    <m/>
    <s v=""/>
    <b v="0"/>
    <m/>
    <m/>
    <d v="2017-02-20T00:00:00"/>
    <m/>
    <n v="791522"/>
    <b v="1"/>
    <m/>
    <m/>
    <m/>
    <x v="0"/>
    <b v="1"/>
    <n v="37779777"/>
    <s v="Emanuel Chris"/>
    <s v="Welch"/>
    <s v="Illinois General Assembly"/>
    <s v=""/>
    <s v="Representative Emanuel Chris Welch (D)_x000a_7th District_x000a__x000a_Springfield Office:_x000a_200-5S Stratton Office Building_x000a_Springfield, IL   62706_x000a_(217) 782-8120_x000a_(217) 524-0448 FAX_x000a__x000a_District Office:_x000a_10055 W. Roosevelt Rd._x000a_Suite E_x000a_Westchester, IL  60154_x000a_(708) 450-1000_x000a_(708) 450-1104 FAX"/>
    <s v="repwelch@emanuelchriswelch.com"/>
    <s v=""/>
    <s v=""/>
    <s v=""/>
    <s v=""/>
    <s v=""/>
    <s v=""/>
    <s v=""/>
    <s v=""/>
    <s v=""/>
    <s v=""/>
    <s v=""/>
    <s v=""/>
    <s v=""/>
    <s v=""/>
    <s v=""/>
    <s v=""/>
    <s v="371616Newsletter Recipient, 371627House of Representatives"/>
    <m/>
    <x v="0"/>
  </r>
  <r>
    <n v="37779780"/>
    <b v="0"/>
    <b v="0"/>
    <b v="0"/>
    <b v="1"/>
    <b v="0"/>
    <b v="1"/>
    <b v="1"/>
    <b v="0"/>
    <b v="0"/>
    <n v="0"/>
    <n v="0"/>
    <m/>
    <d v="2017-02-24T00:00:00"/>
    <n v="32127162"/>
    <d v="2017-02-21T00:00:00"/>
    <m/>
    <m/>
    <s v=""/>
    <b v="0"/>
    <m/>
    <m/>
    <d v="2017-02-20T00:00:00"/>
    <m/>
    <n v="791522"/>
    <b v="1"/>
    <m/>
    <m/>
    <m/>
    <x v="0"/>
    <b v="1"/>
    <n v="37779780"/>
    <s v="David"/>
    <s v="Welter"/>
    <s v="Illinois General Assembly"/>
    <s v=""/>
    <s v="Representative David A. Welter (R)_x000a_75th District _x0009__x000a__x000a_Springfield Office:_x000a_214-N Stratton Office Building_x000a_Springfield, IL   62706_x000a_(217) 782-5997_x000a__x000a_District Office:_x000a_1421 N. Division Street_x000a_Morris, IL  60450_x000a_(815) 416-1475"/>
    <s v="welter@ilhousegop.org"/>
    <s v=""/>
    <s v=""/>
    <s v=""/>
    <s v=""/>
    <s v=""/>
    <s v=""/>
    <s v=""/>
    <s v=""/>
    <s v=""/>
    <s v=""/>
    <s v=""/>
    <s v=""/>
    <s v=""/>
    <s v=""/>
    <s v=""/>
    <s v=""/>
    <s v="371616Newsletter Recipient, 371627House of Representatives"/>
    <m/>
    <x v="0"/>
  </r>
  <r>
    <n v="37819990"/>
    <b v="0"/>
    <b v="0"/>
    <b v="0"/>
    <b v="1"/>
    <b v="0"/>
    <b v="1"/>
    <b v="1"/>
    <b v="0"/>
    <b v="0"/>
    <n v="0"/>
    <n v="0"/>
    <m/>
    <d v="2018-05-29T00:00:00"/>
    <n v="32127162"/>
    <d v="2017-02-24T00:00:00"/>
    <m/>
    <m/>
    <s v=""/>
    <b v="0"/>
    <m/>
    <m/>
    <d v="2017-02-24T00:00:00"/>
    <m/>
    <n v="791522"/>
    <b v="1"/>
    <m/>
    <m/>
    <m/>
    <x v="0"/>
    <b v="1"/>
    <n v="37819990"/>
    <s v="Michael"/>
    <s v="Welton"/>
    <s v="Meridian Health Plan"/>
    <s v=""/>
    <s v=""/>
    <s v="michael.welton@mhplan.com"/>
    <s v="312.980.2335"/>
    <s v=""/>
    <s v=""/>
    <s v=""/>
    <s v=""/>
    <s v=""/>
    <s v=""/>
    <s v=""/>
    <s v="Meridian Escalation"/>
    <s v=""/>
    <s v=""/>
    <s v=""/>
    <s v=""/>
    <s v=""/>
    <s v=""/>
    <s v=""/>
    <s v="371616Newsletter Recipient, 372297Operations Committee, 372298Operations Transportation Subcommittee, 420926Dental - Contracts, 420927Dental - Claims &amp; Billing, 420968Transportation - Claims &amp; Billing, 447857HFS Ops Workgroup"/>
    <s v="10633525Contracts, 10633526Claims/Billing"/>
    <x v="0"/>
  </r>
  <r>
    <n v="42654702"/>
    <b v="0"/>
    <b v="0"/>
    <b v="0"/>
    <b v="1"/>
    <b v="0"/>
    <b v="1"/>
    <b v="1"/>
    <b v="0"/>
    <b v="0"/>
    <n v="0"/>
    <n v="0"/>
    <m/>
    <d v="2018-02-12T00:00:00"/>
    <n v="32127162"/>
    <d v="2017-11-15T00:00:00"/>
    <m/>
    <m/>
    <s v=""/>
    <b v="0"/>
    <m/>
    <m/>
    <d v="2017-11-15T00:00:00"/>
    <m/>
    <n v="791522"/>
    <b v="1"/>
    <m/>
    <d v="2017-11-15T00:00:00"/>
    <m/>
    <x v="0"/>
    <b v="1"/>
    <n v="42654702"/>
    <s v="Blanca"/>
    <s v="Werner"/>
    <s v="Community First Medical Center"/>
    <s v=""/>
    <s v=""/>
    <s v="bwerner@cfmedicalcenter.com"/>
    <s v=""/>
    <s v=""/>
    <s v=""/>
    <s v=""/>
    <s v=""/>
    <s v=""/>
    <s v=""/>
    <s v="Community First Medical Center"/>
    <s v=""/>
    <s v=""/>
    <s v=""/>
    <s v=""/>
    <s v=""/>
    <s v=""/>
    <s v=""/>
    <s v=""/>
    <s v="371616Newsletter Recipient"/>
    <m/>
    <x v="0"/>
  </r>
  <r>
    <n v="37819991"/>
    <b v="0"/>
    <b v="0"/>
    <b v="0"/>
    <b v="1"/>
    <b v="0"/>
    <b v="1"/>
    <b v="1"/>
    <b v="0"/>
    <b v="0"/>
    <n v="0"/>
    <n v="0"/>
    <m/>
    <d v="2018-02-12T00:00:00"/>
    <n v="32127162"/>
    <d v="2017-02-24T00:00:00"/>
    <m/>
    <m/>
    <s v=""/>
    <b v="0"/>
    <m/>
    <m/>
    <d v="2017-02-24T00:00:00"/>
    <m/>
    <n v="791522"/>
    <b v="1"/>
    <m/>
    <m/>
    <m/>
    <x v="0"/>
    <b v="1"/>
    <n v="37819991"/>
    <s v="Steve"/>
    <s v="Wessling"/>
    <s v="Wakely Consulting Group"/>
    <s v=""/>
    <s v=""/>
    <s v="stevew@wakely.com"/>
    <s v=""/>
    <s v=""/>
    <s v=""/>
    <s v=""/>
    <s v=""/>
    <s v=""/>
    <s v=""/>
    <s v=""/>
    <s v="FSA, MAAA"/>
    <s v=""/>
    <s v=""/>
    <s v=""/>
    <s v=""/>
    <s v=""/>
    <s v=""/>
    <s v=""/>
    <s v="371616Newsletter Recipient"/>
    <m/>
    <x v="0"/>
  </r>
  <r>
    <n v="43725203"/>
    <b v="0"/>
    <b v="0"/>
    <b v="0"/>
    <b v="1"/>
    <b v="0"/>
    <b v="1"/>
    <b v="1"/>
    <b v="0"/>
    <b v="0"/>
    <n v="0"/>
    <n v="0"/>
    <m/>
    <d v="2018-02-12T00:00:00"/>
    <n v="32127162"/>
    <d v="2018-02-12T00:00:00"/>
    <m/>
    <m/>
    <s v=""/>
    <b v="0"/>
    <m/>
    <m/>
    <d v="2018-02-12T00:00:00"/>
    <m/>
    <n v="791522"/>
    <b v="1"/>
    <m/>
    <d v="2018-02-12T00:00:00"/>
    <m/>
    <x v="0"/>
    <b v="1"/>
    <n v="43725203"/>
    <s v="Candace"/>
    <s v="West"/>
    <s v="Meridian Health Plan"/>
    <s v=""/>
    <s v=""/>
    <s v="candace.west@mhplan.com"/>
    <s v=""/>
    <s v=""/>
    <s v=""/>
    <s v=""/>
    <s v=""/>
    <s v=""/>
    <s v=""/>
    <s v=""/>
    <s v="Director of Credentialing &amp; Provider Service"/>
    <s v=""/>
    <s v=""/>
    <s v=""/>
    <s v=""/>
    <s v=""/>
    <s v=""/>
    <s v=""/>
    <m/>
    <m/>
    <x v="0"/>
  </r>
  <r>
    <n v="34033550"/>
    <b v="0"/>
    <b v="0"/>
    <b v="0"/>
    <b v="1"/>
    <b v="0"/>
    <b v="1"/>
    <b v="1"/>
    <b v="0"/>
    <b v="0"/>
    <n v="0"/>
    <n v="0"/>
    <m/>
    <d v="2017-12-06T00:00:00"/>
    <n v="32127162"/>
    <d v="2016-08-23T00:00:00"/>
    <m/>
    <m/>
    <s v=""/>
    <b v="0"/>
    <m/>
    <m/>
    <d v="2016-08-23T00:00:00"/>
    <m/>
    <n v="791522"/>
    <b v="1"/>
    <m/>
    <m/>
    <m/>
    <x v="0"/>
    <b v="1"/>
    <n v="34033550"/>
    <s v="Ross"/>
    <s v="Westreich"/>
    <s v="Humana"/>
    <s v=""/>
    <s v=""/>
    <s v="RWestreich@humana.com"/>
    <s v="312-441-5305"/>
    <s v=""/>
    <s v=""/>
    <s v=""/>
    <s v=""/>
    <s v=""/>
    <s v=""/>
    <s v=""/>
    <s v=""/>
    <s v=""/>
    <s v=""/>
    <s v=""/>
    <s v=""/>
    <s v=""/>
    <s v=""/>
    <s v=""/>
    <s v="335736Provider Relations - Committee Members, 335741Chief Executive Officer, 371616Newsletter Recipient, 372294Finance Committee, 372295Board of Directors/General Distribution List, 372296Legislative Committee, 3767711115 Workgroup, 378026IAMHP President, 378027IAMHP Vice-President, 420889Executive Committee, 420911IAMHP Leadership, 428250Hospital Assessment"/>
    <m/>
    <x v="0"/>
  </r>
  <r>
    <n v="37779788"/>
    <b v="0"/>
    <b v="0"/>
    <b v="0"/>
    <b v="1"/>
    <b v="0"/>
    <b v="1"/>
    <b v="1"/>
    <b v="0"/>
    <b v="0"/>
    <n v="0"/>
    <n v="0"/>
    <m/>
    <d v="2017-02-24T00:00:00"/>
    <n v="32127162"/>
    <d v="2017-02-21T00:00:00"/>
    <m/>
    <m/>
    <s v=""/>
    <b v="0"/>
    <m/>
    <m/>
    <d v="2017-02-20T00:00:00"/>
    <m/>
    <n v="791522"/>
    <b v="1"/>
    <m/>
    <m/>
    <m/>
    <x v="0"/>
    <b v="1"/>
    <n v="37779788"/>
    <s v="Barbara"/>
    <s v="Wheeler"/>
    <s v="Illinois General Assembly"/>
    <s v=""/>
    <s v="Representative Barbara Wheeler (R)_x000a_64th District _x0009__x000a__x000a_Springfield Office:_x000a_314 Capitol Building_x000a_Springfield, IL   62706_x000a_(217) 782-1664_x000a_(217) 782-7012 FAX_x000a__x000a_District Office:_x000a_550 W. Woodstock St._x000a_Crystal Lake, IL  60014_x000a_(847) 973-0064_x000a__x000a_37 E. Grand Ave._x000a_Suite #101_x000a_Fox Lake, IL 60020_x000a_(847) 973-0064"/>
    <s v="wheeler@ilhousegop.org"/>
    <s v=""/>
    <s v=""/>
    <s v=""/>
    <s v=""/>
    <s v=""/>
    <s v=""/>
    <s v=""/>
    <s v=""/>
    <s v=""/>
    <s v=""/>
    <s v=""/>
    <s v=""/>
    <s v=""/>
    <s v=""/>
    <s v=""/>
    <s v=""/>
    <s v="371616Newsletter Recipient, 371627House of Representatives"/>
    <m/>
    <x v="0"/>
  </r>
  <r>
    <n v="37779790"/>
    <b v="0"/>
    <b v="0"/>
    <b v="0"/>
    <b v="1"/>
    <b v="0"/>
    <b v="1"/>
    <b v="1"/>
    <b v="0"/>
    <b v="0"/>
    <n v="0"/>
    <n v="0"/>
    <m/>
    <d v="2017-02-24T00:00:00"/>
    <n v="32127162"/>
    <d v="2017-02-21T00:00:00"/>
    <m/>
    <m/>
    <s v=""/>
    <b v="0"/>
    <m/>
    <m/>
    <d v="2017-02-20T00:00:00"/>
    <m/>
    <n v="791522"/>
    <b v="1"/>
    <m/>
    <m/>
    <m/>
    <x v="0"/>
    <b v="1"/>
    <n v="37779790"/>
    <s v="Keith"/>
    <s v="Wheeler"/>
    <s v="Illinois General Assembly"/>
    <s v=""/>
    <s v="Representative Keith R. Wheeler (R)_x000a_50th District_x0009__x000a__x000a_Springfield Office:_x000a_200-5N Stratton Office Building_x000a_Springfield, IL   62706_x000a_(217) 782-1486_x000a__x000a_District Office:_x000a_959 Oak Street_x000a_North Aurora, IL  60542_x000a_(630) 345-3464"/>
    <s v="office@repkeithwheeler.org"/>
    <s v=""/>
    <s v=""/>
    <s v=""/>
    <s v=""/>
    <s v=""/>
    <s v=""/>
    <s v=""/>
    <s v=""/>
    <s v=""/>
    <s v=""/>
    <s v=""/>
    <s v=""/>
    <s v=""/>
    <s v=""/>
    <s v=""/>
    <s v=""/>
    <s v="371616Newsletter Recipient, 371627House of Representatives"/>
    <m/>
    <x v="0"/>
  </r>
  <r>
    <n v="34088032"/>
    <b v="0"/>
    <b v="0"/>
    <b v="0"/>
    <b v="1"/>
    <b v="0"/>
    <b v="1"/>
    <b v="1"/>
    <b v="0"/>
    <b v="0"/>
    <n v="0"/>
    <n v="0"/>
    <m/>
    <d v="2017-12-06T00:00:00"/>
    <n v="32127162"/>
    <d v="2016-08-29T00:00:00"/>
    <m/>
    <m/>
    <s v=""/>
    <b v="0"/>
    <m/>
    <m/>
    <d v="2016-08-29T00:00:00"/>
    <m/>
    <n v="791522"/>
    <b v="1"/>
    <m/>
    <m/>
    <m/>
    <x v="0"/>
    <b v="1"/>
    <n v="34088032"/>
    <s v="Dr. Cheryl"/>
    <s v="Whitaker"/>
    <s v="NextLevel Health"/>
    <s v=""/>
    <s v=""/>
    <s v="Dr.Whitaker@nlhpartners.com"/>
    <s v="312-300-5780 ext 469"/>
    <s v=""/>
    <s v=""/>
    <s v=""/>
    <s v=""/>
    <s v=""/>
    <s v=""/>
    <s v=""/>
    <s v=""/>
    <s v=""/>
    <s v=""/>
    <s v=""/>
    <s v=""/>
    <s v=""/>
    <s v=""/>
    <s v=""/>
    <s v="335741Chief Executive Officer, 371616Newsletter Recipient, 372294Finance Committee, 372295Board of Directors/General Distribution List, 420889Executive Committee, 420911IAMHP Leadership, 428250Hospital Assessment"/>
    <m/>
    <x v="0"/>
  </r>
  <r>
    <n v="34093985"/>
    <b v="0"/>
    <b v="0"/>
    <b v="0"/>
    <b v="1"/>
    <b v="0"/>
    <b v="1"/>
    <b v="1"/>
    <b v="0"/>
    <b v="0"/>
    <n v="0"/>
    <n v="0"/>
    <m/>
    <d v="2017-12-20T00:00:00"/>
    <n v="32127162"/>
    <d v="2016-08-29T00:00:00"/>
    <m/>
    <m/>
    <s v=""/>
    <b v="0"/>
    <m/>
    <m/>
    <d v="2016-08-29T00:00:00"/>
    <m/>
    <n v="791522"/>
    <b v="1"/>
    <m/>
    <m/>
    <m/>
    <x v="0"/>
    <b v="1"/>
    <n v="34093985"/>
    <s v="Karen"/>
    <s v="White"/>
    <s v="Aetna Better Health"/>
    <s v=""/>
    <s v="Backup Manager, Clinical Health Services"/>
    <s v="WhiteK1@aetna.com"/>
    <s v="312-821-0680"/>
    <s v=""/>
    <s v=""/>
    <s v=""/>
    <s v=""/>
    <s v=""/>
    <s v=""/>
    <s v=""/>
    <s v=""/>
    <s v=""/>
    <s v=""/>
    <s v=""/>
    <s v=""/>
    <s v=""/>
    <s v=""/>
    <s v=""/>
    <s v="335700Behavioral Health - Vendor Contact, 371616Newsletter Recipient, 3767711115 Workgroup"/>
    <m/>
    <x v="0"/>
  </r>
  <r>
    <n v="37819992"/>
    <b v="0"/>
    <b v="0"/>
    <b v="0"/>
    <b v="1"/>
    <b v="0"/>
    <b v="1"/>
    <b v="1"/>
    <b v="0"/>
    <b v="0"/>
    <n v="0"/>
    <n v="0"/>
    <m/>
    <d v="2017-12-20T00:00:00"/>
    <n v="32127162"/>
    <d v="2017-02-24T00:00:00"/>
    <m/>
    <m/>
    <s v=""/>
    <b v="0"/>
    <m/>
    <m/>
    <d v="2017-02-24T00:00:00"/>
    <m/>
    <n v="791522"/>
    <b v="1"/>
    <m/>
    <m/>
    <m/>
    <x v="0"/>
    <b v="1"/>
    <n v="37819992"/>
    <s v="Stephanie"/>
    <s v="Whyte"/>
    <s v="Aetna Better Health of Illinois"/>
    <s v=""/>
    <s v=""/>
    <s v="whytes@aetna.com"/>
    <s v=""/>
    <s v=""/>
    <s v="MD"/>
    <s v=""/>
    <s v=""/>
    <s v=""/>
    <s v=""/>
    <s v=""/>
    <s v=""/>
    <s v=""/>
    <s v=""/>
    <s v=""/>
    <s v=""/>
    <s v=""/>
    <s v=""/>
    <s v=""/>
    <s v="335744Chief Medical Officer, 371616Newsletter Recipient, 372292Medical Directors"/>
    <m/>
    <x v="0"/>
  </r>
  <r>
    <n v="40838959"/>
    <b v="0"/>
    <b v="0"/>
    <b v="1"/>
    <b v="1"/>
    <b v="0"/>
    <b v="1"/>
    <b v="1"/>
    <b v="0"/>
    <b v="0"/>
    <n v="0"/>
    <n v="0"/>
    <m/>
    <d v="2017-11-22T00:00:00"/>
    <n v="32127162"/>
    <d v="2017-08-01T00:00:00"/>
    <m/>
    <m/>
    <s v=""/>
    <b v="0"/>
    <m/>
    <m/>
    <d v="2017-08-01T00:00:00"/>
    <m/>
    <n v="791522"/>
    <b v="1"/>
    <m/>
    <m/>
    <m/>
    <x v="0"/>
    <b v="1"/>
    <n v="40838959"/>
    <s v="Sarah"/>
    <s v="Wiemeyer"/>
    <s v="Sertoma Centre, Inc."/>
    <s v=""/>
    <s v=""/>
    <s v="swiemeyer@sertomacentre.org"/>
    <s v=""/>
    <s v=""/>
    <s v=""/>
    <s v=""/>
    <s v=""/>
    <s v=""/>
    <s v=""/>
    <s v=""/>
    <s v=""/>
    <s v=""/>
    <s v=""/>
    <s v=""/>
    <s v=""/>
    <s v=""/>
    <s v=""/>
    <s v=""/>
    <s v="371616Newsletter Recipient"/>
    <m/>
    <x v="0"/>
  </r>
  <r>
    <n v="37822828"/>
    <b v="0"/>
    <b v="0"/>
    <b v="0"/>
    <b v="1"/>
    <b v="0"/>
    <b v="1"/>
    <b v="1"/>
    <b v="0"/>
    <b v="0"/>
    <n v="0"/>
    <n v="0"/>
    <m/>
    <d v="2017-02-24T00:00:00"/>
    <n v="32127162"/>
    <d v="2017-02-24T00:00:00"/>
    <m/>
    <m/>
    <s v=""/>
    <b v="0"/>
    <m/>
    <m/>
    <d v="2017-02-24T00:00:00"/>
    <m/>
    <n v="791522"/>
    <b v="1"/>
    <m/>
    <m/>
    <m/>
    <x v="0"/>
    <b v="1"/>
    <n v="37822828"/>
    <s v="Kathy"/>
    <s v="Wilagora"/>
    <s v="EverThrive Illinois"/>
    <s v=""/>
    <s v=""/>
    <s v="kwaligora@everthriveil.org"/>
    <s v=""/>
    <s v=""/>
    <s v=""/>
    <s v=""/>
    <s v=""/>
    <s v=""/>
    <s v=""/>
    <s v=""/>
    <s v=""/>
    <s v=""/>
    <s v=""/>
    <s v=""/>
    <s v=""/>
    <s v=""/>
    <s v=""/>
    <s v=""/>
    <s v="371616Newsletter Recipient"/>
    <m/>
    <x v="0"/>
  </r>
  <r>
    <n v="43986505"/>
    <b v="0"/>
    <b v="0"/>
    <b v="0"/>
    <b v="1"/>
    <b v="0"/>
    <b v="1"/>
    <b v="1"/>
    <b v="0"/>
    <b v="0"/>
    <n v="0"/>
    <n v="0"/>
    <m/>
    <d v="2018-03-02T00:00:00"/>
    <n v="32127162"/>
    <d v="2018-02-28T00:00:00"/>
    <m/>
    <m/>
    <s v=""/>
    <b v="0"/>
    <m/>
    <m/>
    <d v="2018-02-28T00:00:00"/>
    <m/>
    <n v="791522"/>
    <b v="1"/>
    <m/>
    <d v="2018-02-28T00:00:00"/>
    <m/>
    <x v="0"/>
    <b v="1"/>
    <n v="43986505"/>
    <s v="Jordon"/>
    <s v="Wild"/>
    <s v="Prime Therapeutics (BCBS)"/>
    <s v=""/>
    <s v=""/>
    <s v="jordon.wild@primetherapeutics.com"/>
    <s v=""/>
    <s v=""/>
    <s v=""/>
    <s v=""/>
    <s v="612.803.8537"/>
    <s v="612.777.6128"/>
    <s v=""/>
    <s v=""/>
    <s v="PharmD, Director Clinical Programs Medicaid"/>
    <s v=""/>
    <s v=""/>
    <s v=""/>
    <s v=""/>
    <s v=""/>
    <s v=""/>
    <s v=""/>
    <s v="371616Newsletter Recipient, 372314Pharmacy Director, 428788Pharmacy Director Committee"/>
    <m/>
    <x v="0"/>
  </r>
  <r>
    <n v="34710334"/>
    <b v="0"/>
    <b v="0"/>
    <b v="0"/>
    <b v="1"/>
    <b v="0"/>
    <b v="1"/>
    <b v="1"/>
    <b v="0"/>
    <b v="0"/>
    <n v="0"/>
    <n v="0"/>
    <m/>
    <d v="2018-05-09T00:00:00"/>
    <n v="32127162"/>
    <d v="2016-09-22T00:00:00"/>
    <m/>
    <m/>
    <s v=""/>
    <b v="0"/>
    <m/>
    <m/>
    <d v="2016-09-21T00:00:00"/>
    <m/>
    <n v="791522"/>
    <b v="1"/>
    <m/>
    <m/>
    <m/>
    <x v="0"/>
    <b v="1"/>
    <n v="34710334"/>
    <s v="Angelic"/>
    <s v="Williams"/>
    <s v="IlliniCare Health"/>
    <s v=""/>
    <s v=""/>
    <s v="angelic.s.williams@illinicare.com"/>
    <s v="312.465.0390"/>
    <s v=""/>
    <s v=""/>
    <s v=""/>
    <s v=""/>
    <s v=""/>
    <s v=""/>
    <s v=""/>
    <s v=""/>
    <s v=""/>
    <s v=""/>
    <s v=""/>
    <s v=""/>
    <s v=""/>
    <s v=""/>
    <s v=""/>
    <s v="335716Hospitals, 335727Substance Use Disorder, 335734Public Health Department, 335736Provider Relations - Committee Members, 371616Newsletter Recipient, 376714Methadone Treatment, 388565Community Mental Health, 420929Durable Medical Equipment - Contracts, 420930Durable Medical Equipment - Claims &amp; Billing, 420931Durable Medical Equipment - Care Coordination, 420935Home Health - Contracts, 420936Home Health - Claims &amp; Billing, 420937Home Health - Care Coordination, 420938Hospice - Contracts, 420939Hospice - Claims &amp; Billing, 420940Hospice - Care Coordination"/>
    <s v="10633525Contracts, 10633526Claims/Billing, 10633527Care Coordination"/>
    <x v="0"/>
  </r>
  <r>
    <n v="37779793"/>
    <b v="0"/>
    <b v="0"/>
    <b v="0"/>
    <b v="1"/>
    <b v="0"/>
    <b v="1"/>
    <b v="1"/>
    <b v="0"/>
    <b v="0"/>
    <n v="0"/>
    <n v="0"/>
    <m/>
    <d v="2017-02-24T00:00:00"/>
    <n v="32127162"/>
    <d v="2017-02-21T00:00:00"/>
    <m/>
    <m/>
    <s v=""/>
    <b v="0"/>
    <m/>
    <m/>
    <d v="2017-02-20T00:00:00"/>
    <m/>
    <n v="791522"/>
    <b v="1"/>
    <m/>
    <m/>
    <m/>
    <x v="0"/>
    <b v="1"/>
    <n v="37779793"/>
    <s v="Ann"/>
    <s v="Williams"/>
    <s v=""/>
    <s v=""/>
    <s v="Representative Ann M. Williams (D)_x000a_11th District_x0009__x000a__x000a_Springfield Office:_x000a_273-S Stratton Office Building_x000a_Springfield, IL   62706_x000a_(217) 782-2458_x000a_(217) 557-7214 FAX_x000a__x000a_District Office:_x000a_1726 W. Belmont_x000a_Chicago, IL  60657_x000a_(773) 880-9082_x000a_(773) 880-9083 FAX"/>
    <s v="ann@repannwilliams.com"/>
    <s v=""/>
    <s v=""/>
    <s v=""/>
    <s v=""/>
    <s v=""/>
    <s v=""/>
    <s v=""/>
    <s v=""/>
    <s v=""/>
    <s v=""/>
    <s v=""/>
    <s v=""/>
    <s v=""/>
    <s v=""/>
    <s v=""/>
    <s v=""/>
    <s v="371616Newsletter Recipient, 371627House of Representatives"/>
    <m/>
    <x v="0"/>
  </r>
  <r>
    <n v="43116706"/>
    <b v="0"/>
    <b v="0"/>
    <b v="1"/>
    <b v="1"/>
    <b v="0"/>
    <b v="1"/>
    <b v="1"/>
    <b v="0"/>
    <b v="0"/>
    <n v="0"/>
    <n v="0"/>
    <m/>
    <d v="2018-06-21T00:00:00"/>
    <n v="32127162"/>
    <d v="2018-01-04T00:00:00"/>
    <d v="2018-01-04T00:00:00"/>
    <m/>
    <s v=""/>
    <b v="0"/>
    <m/>
    <m/>
    <d v="2018-02-14T00:00:00"/>
    <m/>
    <n v="791522"/>
    <b v="1"/>
    <m/>
    <d v="2018-02-14T00:00:00"/>
    <m/>
    <x v="0"/>
    <b v="1"/>
    <n v="43116706"/>
    <s v="Katy"/>
    <s v="Williams"/>
    <s v="Kendall County Health Department"/>
    <s v="Health Information/Grants Coordinator"/>
    <s v=""/>
    <s v="kawilliams@co.kendall.il.us"/>
    <s v="6305538039"/>
    <s v=""/>
    <s v=""/>
    <s v=""/>
    <s v=""/>
    <s v=""/>
    <s v=""/>
    <s v="Kendall County Health Department"/>
    <s v=""/>
    <s v=""/>
    <s v=""/>
    <s v=""/>
    <s v=""/>
    <s v=""/>
    <s v=""/>
    <s v=""/>
    <s v="371616Newsletter Recipient"/>
    <m/>
    <x v="0"/>
  </r>
  <r>
    <n v="37819994"/>
    <b v="0"/>
    <b v="0"/>
    <b v="0"/>
    <b v="1"/>
    <b v="0"/>
    <b v="1"/>
    <b v="1"/>
    <b v="0"/>
    <b v="0"/>
    <n v="0"/>
    <n v="0"/>
    <m/>
    <d v="2017-02-24T00:00:00"/>
    <n v="32127162"/>
    <d v="2017-02-24T00:00:00"/>
    <m/>
    <m/>
    <s v=""/>
    <b v="0"/>
    <m/>
    <m/>
    <d v="2017-02-24T00:00:00"/>
    <m/>
    <n v="791522"/>
    <b v="1"/>
    <m/>
    <m/>
    <m/>
    <x v="0"/>
    <b v="1"/>
    <n v="37819994"/>
    <s v="Larhonda"/>
    <s v="Williams"/>
    <s v="Illinois Department on Aging"/>
    <s v=""/>
    <s v=""/>
    <s v="larhonda.williams@illinois.gov"/>
    <s v=""/>
    <s v=""/>
    <s v=""/>
    <s v=""/>
    <s v=""/>
    <s v=""/>
    <s v=""/>
    <s v=""/>
    <s v="Deputy State Managed Care Ombudsman/Office of the State Long-Term Care Ombudsman"/>
    <s v=""/>
    <s v=""/>
    <s v=""/>
    <s v=""/>
    <s v=""/>
    <s v=""/>
    <s v=""/>
    <s v="371616Newsletter Recipient"/>
    <m/>
    <x v="0"/>
  </r>
  <r>
    <n v="41506997"/>
    <b v="0"/>
    <b v="0"/>
    <b v="0"/>
    <b v="1"/>
    <b v="0"/>
    <b v="1"/>
    <b v="1"/>
    <b v="0"/>
    <b v="0"/>
    <n v="0"/>
    <n v="0"/>
    <m/>
    <d v="2017-09-15T00:00:00"/>
    <n v="32127162"/>
    <d v="2017-09-15T00:00:00"/>
    <m/>
    <m/>
    <s v=""/>
    <b v="0"/>
    <m/>
    <m/>
    <d v="2017-09-15T00:00:00"/>
    <m/>
    <n v="791522"/>
    <b v="1"/>
    <m/>
    <d v="2017-09-15T00:00:00"/>
    <m/>
    <x v="0"/>
    <b v="1"/>
    <n v="41506997"/>
    <s v="Helen"/>
    <s v="Williams-Patton"/>
    <s v="Quality Manager-RN"/>
    <s v=""/>
    <s v=""/>
    <s v="hwilliam52@yahoo.com"/>
    <s v=""/>
    <s v=""/>
    <s v=""/>
    <s v=""/>
    <s v=""/>
    <s v=""/>
    <s v=""/>
    <s v=""/>
    <s v=""/>
    <s v=""/>
    <s v=""/>
    <s v=""/>
    <s v=""/>
    <s v=""/>
    <s v=""/>
    <s v=""/>
    <s v="371616Newsletter Recipient"/>
    <m/>
    <x v="0"/>
  </r>
  <r>
    <n v="37779858"/>
    <b v="0"/>
    <b v="0"/>
    <b v="0"/>
    <b v="1"/>
    <b v="0"/>
    <b v="1"/>
    <b v="1"/>
    <b v="0"/>
    <b v="0"/>
    <n v="0"/>
    <n v="0"/>
    <m/>
    <d v="2017-02-24T00:00:00"/>
    <n v="32127162"/>
    <d v="2017-02-21T00:00:00"/>
    <m/>
    <m/>
    <s v=""/>
    <b v="0"/>
    <m/>
    <m/>
    <d v="2017-02-20T00:00:00"/>
    <m/>
    <n v="791522"/>
    <b v="1"/>
    <m/>
    <m/>
    <m/>
    <x v="0"/>
    <b v="1"/>
    <n v="37779858"/>
    <s v="Kathleen"/>
    <s v="Willis"/>
    <s v="Illinois General Assembly"/>
    <s v=""/>
    <s v="Representative Kathleen Willis (D)_x000a_77th District_x0009_ _x0009__x000a__x000a_Springfield Office:_x000a_264-S Stratton Office Building_x000a_Springfield, IL   62706_x000a_(217) 782-3374_x000a_(217) 524-0448 FAX_x000a__x000a_District Office:_x000a_112 N. Wolf Rd._x000a_Northlake, IL  60164_x000a_(708) 562-6970_x000a_(708) 562-6974 FAX"/>
    <s v="repwillis77@gmail.com"/>
    <s v=""/>
    <s v=""/>
    <s v=""/>
    <s v=""/>
    <s v=""/>
    <s v=""/>
    <s v=""/>
    <s v=""/>
    <s v=""/>
    <s v=""/>
    <s v=""/>
    <s v=""/>
    <s v=""/>
    <s v=""/>
    <s v=""/>
    <s v=""/>
    <s v="371616Newsletter Recipient, 371627House of Representatives"/>
    <m/>
    <x v="0"/>
  </r>
  <r>
    <n v="37779860"/>
    <b v="0"/>
    <b v="0"/>
    <b v="0"/>
    <b v="1"/>
    <b v="0"/>
    <b v="1"/>
    <b v="1"/>
    <b v="0"/>
    <b v="0"/>
    <n v="0"/>
    <n v="0"/>
    <m/>
    <d v="2017-02-24T00:00:00"/>
    <n v="32127162"/>
    <d v="2017-02-21T00:00:00"/>
    <m/>
    <m/>
    <s v=""/>
    <b v="0"/>
    <m/>
    <m/>
    <d v="2017-02-20T00:00:00"/>
    <m/>
    <n v="791522"/>
    <b v="1"/>
    <m/>
    <m/>
    <m/>
    <x v="0"/>
    <b v="1"/>
    <n v="37779860"/>
    <s v="Christine"/>
    <s v="Winger"/>
    <s v="Illinois General Assembly"/>
    <s v=""/>
    <s v="Representative Christine Winger (R)_x000a_45th District_x0009_ _x0009__x000a__x000a_Springfield Office:_x000a_206-N Stratton Office Building_x000a_Springfield, IL   62706_x000a_(217) 782-4014_x000a__x000a_District Office:_x000a_One Tiffany Pointe_x000a_Suite G3_x000a_Bloomingdale, IL  60108_x000a_(847) 252-9311"/>
    <s v="winger@ilhousegop.org"/>
    <s v=""/>
    <s v=""/>
    <s v=""/>
    <s v=""/>
    <s v=""/>
    <s v=""/>
    <s v=""/>
    <s v=""/>
    <s v=""/>
    <s v=""/>
    <s v=""/>
    <s v=""/>
    <s v=""/>
    <s v=""/>
    <s v=""/>
    <s v=""/>
    <s v="371616Newsletter Recipient, 371627House of Representatives"/>
    <m/>
    <x v="0"/>
  </r>
  <r>
    <n v="37819996"/>
    <b v="0"/>
    <b v="0"/>
    <b v="0"/>
    <b v="1"/>
    <b v="0"/>
    <b v="1"/>
    <b v="1"/>
    <b v="0"/>
    <b v="0"/>
    <n v="0"/>
    <n v="0"/>
    <m/>
    <d v="2017-02-24T00:00:00"/>
    <n v="32127162"/>
    <d v="2017-02-24T00:00:00"/>
    <m/>
    <m/>
    <s v=""/>
    <b v="0"/>
    <m/>
    <m/>
    <d v="2017-02-24T00:00:00"/>
    <m/>
    <n v="791522"/>
    <b v="1"/>
    <m/>
    <m/>
    <m/>
    <x v="0"/>
    <b v="1"/>
    <n v="37819996"/>
    <s v="Ross"/>
    <s v="Winkelman"/>
    <s v="Wakely Consulting Group"/>
    <s v=""/>
    <s v=""/>
    <s v="rossw@wakely.com"/>
    <s v=""/>
    <s v=""/>
    <s v=""/>
    <s v=""/>
    <s v=""/>
    <s v=""/>
    <s v=""/>
    <s v=""/>
    <s v=""/>
    <s v=""/>
    <s v=""/>
    <s v=""/>
    <s v=""/>
    <s v=""/>
    <s v=""/>
    <s v=""/>
    <s v="371616Newsletter Recipient, 372294Finance Committee"/>
    <m/>
    <x v="0"/>
  </r>
  <r>
    <n v="36788003"/>
    <b v="0"/>
    <b v="0"/>
    <b v="1"/>
    <b v="1"/>
    <b v="0"/>
    <b v="1"/>
    <b v="1"/>
    <b v="0"/>
    <b v="0"/>
    <n v="0"/>
    <n v="0"/>
    <m/>
    <d v="2018-05-29T00:00:00"/>
    <n v="32127162"/>
    <d v="2017-01-04T00:00:00"/>
    <m/>
    <m/>
    <s v=""/>
    <b v="0"/>
    <m/>
    <m/>
    <d v="2017-01-03T00:00:00"/>
    <m/>
    <n v="791522"/>
    <b v="1"/>
    <m/>
    <m/>
    <m/>
    <x v="0"/>
    <b v="1"/>
    <n v="36788003"/>
    <s v="Cyrus"/>
    <s v="Winnett"/>
    <s v="Illinois Association of Medicaid Health Plans (IAMHP)"/>
    <s v=""/>
    <s v="Associate Director"/>
    <s v="cyrus@iamhpteam.org"/>
    <s v="(217) 341-4452"/>
    <s v=""/>
    <s v=""/>
    <s v=""/>
    <s v=""/>
    <s v=""/>
    <s v=""/>
    <s v=""/>
    <s v=""/>
    <s v=""/>
    <s v=""/>
    <s v=""/>
    <s v=""/>
    <s v=""/>
    <s v=""/>
    <s v=""/>
    <s v="335736Provider Relations - Committee Members, 335741Chief Executive Officer, 335742Chief Financial Officer, 335743Chief Operating Officer, 335744Chief Medical Officer, 335745Quality Directors, 335746Encounters Expert, 335747Government Relations, 350522Compliance Officer, 371616Newsletter Recipient, 372292Medical Directors, 372293Quality Committee, 372294Finance Committee, 372295Board of Directors/General Distribution List, 372296Legislative Committee, 372297Operations Committee, 372298Operations Transportation Subcommittee, 372306Marketing Committee, 372307Membership &amp; Education, 372311Business Member, 372312IHA-IAMHP Working Group, 372313MCO Contact List for IHA, 372314Pharmacy Director, 3767711115 Workgroup, 405964IAMHP Staff, 420889Executive Committee, 420902Monthly Poll Contacts, 420911IAMHP Leadership, 420915HFS OIG - Transportation Brokers, 428250Hospital Assessment, 428788Pharmacy Director Committee, 441580Compliance Committee, 443813Discharge Planning, 443814Billing Working Group, 447857HFS Ops Workgroup"/>
    <m/>
    <x v="0"/>
  </r>
  <r>
    <n v="37819997"/>
    <b v="0"/>
    <b v="0"/>
    <b v="0"/>
    <b v="1"/>
    <b v="0"/>
    <b v="1"/>
    <b v="1"/>
    <b v="0"/>
    <b v="0"/>
    <n v="0"/>
    <n v="0"/>
    <m/>
    <d v="2017-02-24T00:00:00"/>
    <n v="32127162"/>
    <d v="2017-02-24T00:00:00"/>
    <m/>
    <m/>
    <s v=""/>
    <b v="0"/>
    <m/>
    <m/>
    <d v="2017-02-24T00:00:00"/>
    <m/>
    <n v="791522"/>
    <b v="1"/>
    <m/>
    <m/>
    <m/>
    <x v="0"/>
    <b v="1"/>
    <n v="37819997"/>
    <s v="Pamela"/>
    <s v="Winsel"/>
    <s v="Molina Healthcare of Illinois, Inc."/>
    <s v=""/>
    <s v=""/>
    <s v="Pamela.Winsel@MolinaHealthCare.com"/>
    <s v=""/>
    <s v=""/>
    <s v=""/>
    <s v=""/>
    <s v=""/>
    <s v=""/>
    <s v=""/>
    <s v=""/>
    <s v=""/>
    <s v=""/>
    <s v=""/>
    <s v=""/>
    <s v=""/>
    <s v=""/>
    <s v=""/>
    <s v=""/>
    <s v="371616Newsletter Recipient"/>
    <m/>
    <x v="0"/>
  </r>
  <r>
    <n v="41037473"/>
    <b v="0"/>
    <b v="0"/>
    <b v="0"/>
    <b v="1"/>
    <b v="0"/>
    <b v="1"/>
    <b v="1"/>
    <b v="0"/>
    <b v="0"/>
    <n v="0"/>
    <n v="0"/>
    <m/>
    <d v="2017-08-16T00:00:00"/>
    <n v="32127162"/>
    <d v="2017-08-16T00:00:00"/>
    <m/>
    <m/>
    <s v=""/>
    <b v="0"/>
    <m/>
    <m/>
    <d v="2017-08-16T00:00:00"/>
    <m/>
    <n v="791522"/>
    <b v="1"/>
    <m/>
    <m/>
    <m/>
    <x v="0"/>
    <b v="1"/>
    <n v="41037473"/>
    <s v="Lisa"/>
    <s v="Wiseman"/>
    <s v="Humana"/>
    <s v=""/>
    <s v=""/>
    <s v="lwiseman1@humana.com"/>
    <s v=""/>
    <s v=""/>
    <s v=""/>
    <s v=""/>
    <s v=""/>
    <s v=""/>
    <s v=""/>
    <s v=""/>
    <s v=""/>
    <s v=""/>
    <s v=""/>
    <s v=""/>
    <s v=""/>
    <s v=""/>
    <s v=""/>
    <s v=""/>
    <s v="371616Newsletter Recipient"/>
    <m/>
    <x v="0"/>
  </r>
  <r>
    <n v="43665314"/>
    <b v="0"/>
    <b v="0"/>
    <b v="0"/>
    <b v="1"/>
    <b v="0"/>
    <b v="1"/>
    <b v="1"/>
    <b v="0"/>
    <b v="0"/>
    <n v="0"/>
    <n v="0"/>
    <m/>
    <d v="2018-05-29T00:00:00"/>
    <n v="32127162"/>
    <d v="2018-02-07T00:00:00"/>
    <m/>
    <m/>
    <s v=""/>
    <b v="0"/>
    <m/>
    <m/>
    <d v="2018-02-07T00:00:00"/>
    <m/>
    <n v="791522"/>
    <b v="1"/>
    <m/>
    <d v="2018-02-07T00:00:00"/>
    <m/>
    <x v="0"/>
    <b v="1"/>
    <n v="43665314"/>
    <s v="Nancy"/>
    <s v="Wohlhart"/>
    <s v="Blue Cross Blue Shield of Illinois"/>
    <s v=""/>
    <s v=""/>
    <s v="nancy_t_wohlhart@bcbsil.com"/>
    <s v=""/>
    <s v=""/>
    <s v=""/>
    <s v=""/>
    <s v=""/>
    <s v=""/>
    <s v=""/>
    <s v=""/>
    <s v="CEO, VP Illinois Medicaid"/>
    <s v=""/>
    <s v=""/>
    <s v=""/>
    <s v=""/>
    <s v=""/>
    <s v=""/>
    <s v=""/>
    <s v="335741Chief Executive Officer, 371616Newsletter Recipient, 372293Quality Committee, 372294Finance Committee, 372295Board of Directors/General Distribution List, 372296Legislative Committee, 372297Operations Committee, 372312IHA-IAMHP Working Group, 428250Hospital Assessment, 443814Billing Working Group, 447857HFS Ops Workgroup"/>
    <m/>
    <x v="0"/>
  </r>
  <r>
    <n v="37779212"/>
    <b v="0"/>
    <b v="0"/>
    <b v="0"/>
    <b v="1"/>
    <b v="0"/>
    <b v="1"/>
    <b v="1"/>
    <b v="0"/>
    <b v="0"/>
    <n v="0"/>
    <n v="0"/>
    <m/>
    <d v="2017-02-24T00:00:00"/>
    <n v="32127162"/>
    <d v="2017-02-21T00:00:00"/>
    <m/>
    <m/>
    <s v=""/>
    <b v="0"/>
    <m/>
    <m/>
    <d v="2017-02-20T00:00:00"/>
    <m/>
    <n v="791522"/>
    <b v="1"/>
    <m/>
    <m/>
    <m/>
    <x v="0"/>
    <b v="1"/>
    <n v="37779212"/>
    <s v="Sara"/>
    <s v="Wojcicki Jimenez"/>
    <s v="Illinois General Assembly"/>
    <s v=""/>
    <s v="Representative Sara Wojcicki Jimenez (R)_x000a_99th District_x0009_ _x0009__x000a__x000a_Springfield Office:_x000a_E-1 Stratton Office Building_x000a_Springfield, IL   62706_x000a_(217) 782-0044_x000a__x000a_District Office:_x000a_E-1 Stratton Office Building_x000a_Springfield, IL  62706_x000a_(217) 782-0044"/>
    <s v="Sjimenez@ilhousegop.org"/>
    <s v=""/>
    <s v=""/>
    <s v=""/>
    <s v=""/>
    <s v=""/>
    <s v=""/>
    <s v=""/>
    <s v=""/>
    <s v=""/>
    <s v=""/>
    <s v=""/>
    <s v=""/>
    <s v=""/>
    <s v=""/>
    <s v=""/>
    <s v=""/>
    <s v="371616Newsletter Recipient, 371627House of Representatives"/>
    <m/>
    <x v="0"/>
  </r>
  <r>
    <n v="41748381"/>
    <b v="0"/>
    <b v="0"/>
    <b v="0"/>
    <b v="1"/>
    <b v="0"/>
    <b v="1"/>
    <b v="1"/>
    <b v="0"/>
    <b v="0"/>
    <n v="0"/>
    <n v="0"/>
    <m/>
    <d v="2018-05-29T00:00:00"/>
    <n v="32127162"/>
    <d v="2017-09-26T00:00:00"/>
    <m/>
    <m/>
    <s v=""/>
    <b v="0"/>
    <m/>
    <m/>
    <d v="2017-09-26T00:00:00"/>
    <m/>
    <n v="791522"/>
    <b v="1"/>
    <m/>
    <d v="2017-09-26T00:00:00"/>
    <m/>
    <x v="0"/>
    <b v="1"/>
    <n v="41748381"/>
    <s v="Matt"/>
    <s v="Wolf"/>
    <s v="Molina Healthcare of Illinois, Inc."/>
    <s v=""/>
    <s v=""/>
    <s v="matthew.wolf@molinahealthcare.com"/>
    <s v=""/>
    <s v=""/>
    <s v=""/>
    <s v=""/>
    <s v=""/>
    <s v=""/>
    <s v=""/>
    <s v=""/>
    <s v="Vice President of Network &amp; Operations"/>
    <s v=""/>
    <s v=""/>
    <s v=""/>
    <s v=""/>
    <s v=""/>
    <s v=""/>
    <s v=""/>
    <s v="335736Provider Relations - Committee Members, 371616Newsletter Recipient, 372294Finance Committee, 372295Board of Directors/General Distribution List, 372297Operations Committee, 372312IHA-IAMHP Working Group, 428250Hospital Assessment, 443814Billing Working Group, 447857HFS Ops Workgroup"/>
    <m/>
    <x v="0"/>
  </r>
  <r>
    <n v="43546518"/>
    <b v="0"/>
    <b v="0"/>
    <b v="0"/>
    <b v="1"/>
    <b v="0"/>
    <b v="1"/>
    <b v="1"/>
    <b v="0"/>
    <b v="0"/>
    <n v="0"/>
    <n v="0"/>
    <m/>
    <d v="2018-03-16T00:00:00"/>
    <n v="32127162"/>
    <d v="2018-02-01T00:00:00"/>
    <m/>
    <m/>
    <s v=""/>
    <b v="0"/>
    <m/>
    <m/>
    <d v="2018-02-01T00:00:00"/>
    <m/>
    <n v="791522"/>
    <b v="1"/>
    <m/>
    <d v="2018-02-01T00:00:00"/>
    <m/>
    <x v="0"/>
    <b v="1"/>
    <n v="43546518"/>
    <s v="David"/>
    <s v="Wolff"/>
    <s v="IlliniCare Health"/>
    <s v=""/>
    <s v=""/>
    <s v="David.M.Wolff@mhswi.com"/>
    <s v=""/>
    <s v=""/>
    <s v=""/>
    <s v=""/>
    <s v=""/>
    <s v=""/>
    <s v=""/>
    <s v=""/>
    <s v=""/>
    <s v=""/>
    <s v=""/>
    <s v=""/>
    <s v=""/>
    <s v=""/>
    <s v=""/>
    <s v=""/>
    <s v="371616Newsletter Recipient, 428250Hospital Assessment"/>
    <m/>
    <x v="0"/>
  </r>
  <r>
    <n v="34088050"/>
    <b v="0"/>
    <b v="0"/>
    <b v="0"/>
    <b v="1"/>
    <b v="0"/>
    <b v="1"/>
    <b v="1"/>
    <b v="0"/>
    <b v="0"/>
    <n v="0"/>
    <n v="0"/>
    <m/>
    <d v="2018-01-22T00:00:00"/>
    <n v="32127162"/>
    <d v="2016-08-29T00:00:00"/>
    <m/>
    <m/>
    <s v=""/>
    <b v="0"/>
    <m/>
    <m/>
    <d v="2016-08-29T00:00:00"/>
    <m/>
    <n v="791522"/>
    <b v="1"/>
    <m/>
    <m/>
    <m/>
    <x v="0"/>
    <b v="1"/>
    <n v="34088050"/>
    <s v="Keith"/>
    <s v="Wolski"/>
    <s v="NextLevel Health"/>
    <s v=""/>
    <s v=""/>
    <s v="Keith@nlhpartners.com"/>
    <s v="312-300-5780 ext 492"/>
    <s v=""/>
    <s v=""/>
    <s v=""/>
    <s v=""/>
    <s v=""/>
    <s v=""/>
    <s v=""/>
    <s v=""/>
    <s v=""/>
    <s v=""/>
    <s v=""/>
    <s v=""/>
    <s v=""/>
    <s v=""/>
    <s v=""/>
    <s v="371616Newsletter Recipient"/>
    <m/>
    <x v="0"/>
  </r>
  <r>
    <n v="37820008"/>
    <b v="0"/>
    <b v="0"/>
    <b v="0"/>
    <b v="1"/>
    <b v="0"/>
    <b v="1"/>
    <b v="1"/>
    <b v="0"/>
    <b v="0"/>
    <n v="0"/>
    <n v="0"/>
    <m/>
    <d v="2018-01-22T00:00:00"/>
    <n v="32127162"/>
    <d v="2017-02-24T00:00:00"/>
    <m/>
    <m/>
    <s v=""/>
    <b v="0"/>
    <m/>
    <m/>
    <d v="2017-02-24T00:00:00"/>
    <m/>
    <n v="791522"/>
    <b v="1"/>
    <m/>
    <m/>
    <m/>
    <x v="0"/>
    <b v="1"/>
    <n v="37820008"/>
    <s v="Kristy"/>
    <s v="Woods"/>
    <s v="NextLevel Health"/>
    <s v="Dr."/>
    <s v=""/>
    <s v="kristy.woods@nlhpartners.com"/>
    <s v=""/>
    <s v=""/>
    <s v=""/>
    <s v=""/>
    <s v=""/>
    <s v=""/>
    <s v=""/>
    <s v=""/>
    <s v="Chief Medical Officer"/>
    <s v=""/>
    <s v=""/>
    <s v=""/>
    <s v=""/>
    <s v=""/>
    <s v=""/>
    <s v=""/>
    <s v="371616Newsletter Recipient"/>
    <m/>
    <x v="0"/>
  </r>
  <r>
    <n v="44047149"/>
    <b v="0"/>
    <b v="0"/>
    <b v="0"/>
    <b v="1"/>
    <b v="0"/>
    <b v="1"/>
    <b v="1"/>
    <b v="0"/>
    <b v="0"/>
    <n v="0"/>
    <n v="0"/>
    <m/>
    <d v="2018-03-02T00:00:00"/>
    <n v="32127162"/>
    <d v="2018-03-02T00:00:00"/>
    <m/>
    <m/>
    <s v=""/>
    <b v="0"/>
    <m/>
    <m/>
    <d v="2018-03-02T00:00:00"/>
    <m/>
    <n v="791522"/>
    <b v="1"/>
    <m/>
    <d v="2018-03-02T00:00:00"/>
    <m/>
    <x v="0"/>
    <b v="1"/>
    <n v="44047149"/>
    <s v="Cynthia"/>
    <s v="Worsley"/>
    <s v="Fox Valley Older Adult Services"/>
    <s v=""/>
    <s v=""/>
    <s v="cworsley@fvoas.org"/>
    <s v=""/>
    <s v=""/>
    <s v=""/>
    <s v=""/>
    <s v=""/>
    <s v=""/>
    <s v=""/>
    <s v=""/>
    <s v=""/>
    <s v=""/>
    <s v=""/>
    <s v=""/>
    <s v=""/>
    <s v=""/>
    <s v=""/>
    <s v=""/>
    <s v="371616Newsletter Recipient"/>
    <m/>
    <x v="0"/>
  </r>
  <r>
    <n v="34020722"/>
    <b v="0"/>
    <b v="0"/>
    <b v="0"/>
    <b v="1"/>
    <b v="0"/>
    <b v="1"/>
    <b v="1"/>
    <b v="0"/>
    <b v="0"/>
    <n v="0"/>
    <n v="0"/>
    <m/>
    <d v="2017-12-20T00:00:00"/>
    <n v="32127162"/>
    <d v="2016-08-22T00:00:00"/>
    <m/>
    <m/>
    <s v=""/>
    <b v="0"/>
    <m/>
    <m/>
    <d v="2016-08-22T00:00:00"/>
    <m/>
    <n v="791522"/>
    <b v="1"/>
    <m/>
    <m/>
    <m/>
    <x v="0"/>
    <b v="1"/>
    <n v="34020722"/>
    <s v="Kevin"/>
    <s v="Wytas"/>
    <s v="Aetna Better Health"/>
    <s v=""/>
    <s v=""/>
    <s v="WytasK@aetna.com"/>
    <s v="860-808-2649"/>
    <s v=""/>
    <s v=""/>
    <s v=""/>
    <s v=""/>
    <s v=""/>
    <s v=""/>
    <s v=""/>
    <s v=""/>
    <s v=""/>
    <s v=""/>
    <s v=""/>
    <s v=""/>
    <s v=""/>
    <s v=""/>
    <s v=""/>
    <s v="371616Newsletter Recipient"/>
    <m/>
    <x v="0"/>
  </r>
  <r>
    <n v="40909365"/>
    <b v="0"/>
    <b v="0"/>
    <b v="0"/>
    <b v="1"/>
    <b v="0"/>
    <b v="1"/>
    <b v="1"/>
    <b v="0"/>
    <b v="0"/>
    <n v="0"/>
    <n v="0"/>
    <m/>
    <d v="2018-03-02T00:00:00"/>
    <n v="32127162"/>
    <d v="2017-08-07T00:00:00"/>
    <m/>
    <m/>
    <s v=""/>
    <b v="0"/>
    <m/>
    <m/>
    <d v="2017-08-07T00:00:00"/>
    <m/>
    <n v="791522"/>
    <b v="1"/>
    <m/>
    <m/>
    <m/>
    <x v="0"/>
    <b v="1"/>
    <n v="40909365"/>
    <s v="Debbie"/>
    <s v="Yaeger"/>
    <s v="Cornerstones Services, Inc"/>
    <s v=""/>
    <s v=""/>
    <s v="dyaeger@cornerstoneservices.org"/>
    <s v=""/>
    <s v=""/>
    <s v=""/>
    <s v=""/>
    <s v=""/>
    <s v="815-846-7687"/>
    <s v=""/>
    <s v=""/>
    <s v=""/>
    <s v=""/>
    <s v=""/>
    <s v=""/>
    <s v=""/>
    <s v=""/>
    <s v=""/>
    <s v=""/>
    <s v="371616Newsletter Recipient"/>
    <m/>
    <x v="0"/>
  </r>
  <r>
    <n v="37822872"/>
    <b v="0"/>
    <b v="0"/>
    <b v="0"/>
    <b v="1"/>
    <b v="0"/>
    <b v="1"/>
    <b v="1"/>
    <b v="0"/>
    <b v="0"/>
    <n v="0"/>
    <n v="0"/>
    <m/>
    <d v="2017-02-24T00:00:00"/>
    <n v="32127162"/>
    <d v="2017-02-24T00:00:00"/>
    <m/>
    <m/>
    <s v=""/>
    <b v="0"/>
    <m/>
    <m/>
    <d v="2017-02-24T00:00:00"/>
    <m/>
    <n v="791522"/>
    <b v="1"/>
    <m/>
    <m/>
    <m/>
    <x v="0"/>
    <b v="1"/>
    <n v="37822872"/>
    <s v="Tom"/>
    <s v="Yates"/>
    <s v=""/>
    <s v=""/>
    <s v=""/>
    <s v="tyates@legalcouncil.org"/>
    <s v=""/>
    <s v=""/>
    <s v=""/>
    <s v=""/>
    <s v=""/>
    <s v=""/>
    <s v=""/>
    <s v=""/>
    <s v=""/>
    <s v=""/>
    <s v=""/>
    <s v=""/>
    <s v=""/>
    <s v=""/>
    <s v=""/>
    <s v=""/>
    <s v="371616Newsletter Recipient"/>
    <m/>
    <x v="0"/>
  </r>
  <r>
    <n v="37779863"/>
    <b v="0"/>
    <b v="0"/>
    <b v="0"/>
    <b v="1"/>
    <b v="0"/>
    <b v="1"/>
    <b v="1"/>
    <b v="0"/>
    <b v="0"/>
    <n v="0"/>
    <n v="0"/>
    <m/>
    <d v="2017-02-24T00:00:00"/>
    <n v="32127162"/>
    <d v="2017-02-21T00:00:00"/>
    <m/>
    <m/>
    <s v=""/>
    <b v="0"/>
    <m/>
    <m/>
    <d v="2017-02-20T00:00:00"/>
    <m/>
    <n v="791522"/>
    <b v="1"/>
    <m/>
    <m/>
    <m/>
    <x v="0"/>
    <b v="1"/>
    <n v="37779863"/>
    <s v="Sam"/>
    <s v="Yingling"/>
    <s v="Illinois General Assembly"/>
    <s v=""/>
    <s v="Representative Sam Yingling (D)_x000a_62nd District_x0009__x000a__x000a_Springfield Office:_x000a_237-E Stratton Office Building_x000a_Springfield, IL   62706_x000a_(217) 782-7320_x000a__x000a_District Office:_x000a_1919 IL Route 83_x000a_Suite 1_x000a_Round Lake Beach, IL  60073_x000a_(847) 231-6262_x000a_(847) 231-6102 FAX"/>
    <s v="repsamyingling@gmail.com"/>
    <s v=""/>
    <s v=""/>
    <s v=""/>
    <s v=""/>
    <s v=""/>
    <s v=""/>
    <s v=""/>
    <s v=""/>
    <s v=""/>
    <s v=""/>
    <s v=""/>
    <s v=""/>
    <s v=""/>
    <s v=""/>
    <s v=""/>
    <s v=""/>
    <s v="371616Newsletter Recipient, 371627House of Representatives"/>
    <m/>
    <x v="0"/>
  </r>
  <r>
    <n v="43415618"/>
    <b v="0"/>
    <b v="0"/>
    <b v="0"/>
    <b v="1"/>
    <b v="0"/>
    <b v="1"/>
    <b v="1"/>
    <b v="0"/>
    <b v="0"/>
    <n v="0"/>
    <n v="0"/>
    <m/>
    <d v="2018-02-06T00:00:00"/>
    <n v="32127162"/>
    <d v="2018-01-22T00:00:00"/>
    <m/>
    <m/>
    <s v=""/>
    <b v="0"/>
    <m/>
    <m/>
    <d v="2018-01-22T00:00:00"/>
    <m/>
    <n v="791522"/>
    <b v="1"/>
    <m/>
    <d v="2018-01-22T00:00:00"/>
    <m/>
    <x v="0"/>
    <b v="1"/>
    <n v="43415618"/>
    <s v="Gina"/>
    <s v="Yun"/>
    <s v="Blue Cross Blue Shield of Illinois"/>
    <s v=""/>
    <s v=""/>
    <s v="Gina_Yun@bcbsil.com"/>
    <s v=""/>
    <s v=""/>
    <s v=""/>
    <s v=""/>
    <s v=""/>
    <s v=""/>
    <s v=""/>
    <s v=""/>
    <s v=""/>
    <s v=""/>
    <s v=""/>
    <s v=""/>
    <s v=""/>
    <s v=""/>
    <s v=""/>
    <s v=""/>
    <s v="371616Newsletter Recipient, 372314Pharmacy Director, 428788Pharmacy Director Committee"/>
    <m/>
    <x v="0"/>
  </r>
  <r>
    <n v="37779866"/>
    <b v="0"/>
    <b v="0"/>
    <b v="0"/>
    <b v="1"/>
    <b v="0"/>
    <b v="1"/>
    <b v="1"/>
    <b v="0"/>
    <b v="0"/>
    <n v="0"/>
    <n v="0"/>
    <m/>
    <d v="2017-02-24T00:00:00"/>
    <n v="32127162"/>
    <d v="2017-02-21T00:00:00"/>
    <m/>
    <m/>
    <s v=""/>
    <b v="0"/>
    <m/>
    <m/>
    <d v="2017-02-20T00:00:00"/>
    <m/>
    <n v="791522"/>
    <b v="1"/>
    <m/>
    <m/>
    <m/>
    <x v="0"/>
    <b v="1"/>
    <n v="37779866"/>
    <s v="Michael"/>
    <s v="Zalewski"/>
    <s v="Illinois General Assembly"/>
    <s v=""/>
    <s v="Representative Michael J. Zalewski (D)_x000a_23rd District _x0009__x000a__x000a_Springfield Office:_x000a_243-E Stratton Office Building_x000a_Springfield, IL   62706_x000a_(217) 782-5280_x000a_(217) 524-0449 FAX_x000a__x000a_District Office:_x000a_1 Riverside Road_x000a_Suite 204 A_x000a_Riverside, IL  60546_x000a_(708) 442-6500_x000a_(708) 442-6501 FAX"/>
    <s v="info@repmikezalewski.org"/>
    <s v=""/>
    <s v=""/>
    <s v=""/>
    <s v=""/>
    <s v=""/>
    <s v=""/>
    <s v=""/>
    <s v=""/>
    <s v=""/>
    <s v=""/>
    <s v=""/>
    <s v=""/>
    <s v=""/>
    <s v=""/>
    <s v=""/>
    <s v=""/>
    <s v="371616Newsletter Recipient, 371627House of Representatives"/>
    <m/>
    <x v="0"/>
  </r>
  <r>
    <n v="34514274"/>
    <b v="0"/>
    <b v="0"/>
    <b v="0"/>
    <b v="1"/>
    <b v="0"/>
    <b v="1"/>
    <b v="1"/>
    <b v="0"/>
    <b v="0"/>
    <n v="0"/>
    <n v="0"/>
    <m/>
    <d v="2018-01-12T00:00:00"/>
    <n v="32127162"/>
    <d v="2016-09-16T00:00:00"/>
    <m/>
    <m/>
    <s v=""/>
    <b v="0"/>
    <m/>
    <m/>
    <d v="2016-09-15T00:00:00"/>
    <m/>
    <n v="791522"/>
    <b v="1"/>
    <m/>
    <m/>
    <m/>
    <x v="0"/>
    <b v="1"/>
    <n v="34514274"/>
    <s v="Chris"/>
    <s v="Zaruszak"/>
    <s v="Family Health Network/Community Care Alliance of Illinois"/>
    <s v=""/>
    <s v=""/>
    <s v="CZaruszak@myfhn.com"/>
    <s v="312-995-1289"/>
    <s v=""/>
    <s v=""/>
    <s v=""/>
    <s v=""/>
    <s v=""/>
    <s v=""/>
    <s v=""/>
    <s v=""/>
    <s v=""/>
    <s v=""/>
    <s v=""/>
    <s v=""/>
    <s v=""/>
    <s v=""/>
    <s v=""/>
    <m/>
    <m/>
    <x v="0"/>
  </r>
  <r>
    <n v="37822870"/>
    <b v="0"/>
    <b v="0"/>
    <b v="0"/>
    <b v="1"/>
    <b v="0"/>
    <b v="1"/>
    <b v="1"/>
    <b v="0"/>
    <b v="0"/>
    <n v="0"/>
    <n v="0"/>
    <m/>
    <d v="2017-02-24T00:00:00"/>
    <n v="32127162"/>
    <d v="2017-02-24T00:00:00"/>
    <m/>
    <m/>
    <s v=""/>
    <b v="0"/>
    <m/>
    <m/>
    <d v="2017-02-24T00:00:00"/>
    <m/>
    <n v="791522"/>
    <b v="1"/>
    <m/>
    <m/>
    <m/>
    <x v="0"/>
    <b v="1"/>
    <n v="37822870"/>
    <s v="Mike"/>
    <s v="Ziri"/>
    <s v=""/>
    <s v=""/>
    <s v=""/>
    <s v="mziri@eqil.org"/>
    <s v=""/>
    <s v=""/>
    <s v=""/>
    <s v=""/>
    <s v=""/>
    <s v=""/>
    <s v=""/>
    <s v=""/>
    <s v=""/>
    <s v=""/>
    <s v=""/>
    <s v=""/>
    <s v=""/>
    <s v=""/>
    <s v=""/>
    <s v=""/>
    <s v="371616Newsletter Recipient"/>
    <m/>
    <x v="0"/>
  </r>
  <r>
    <m/>
    <m/>
    <m/>
    <m/>
    <m/>
    <m/>
    <m/>
    <m/>
    <m/>
    <m/>
    <m/>
    <m/>
    <m/>
    <m/>
    <m/>
    <m/>
    <m/>
    <m/>
    <m/>
    <m/>
    <m/>
    <m/>
    <m/>
    <m/>
    <m/>
    <m/>
    <m/>
    <m/>
    <m/>
    <x v="2"/>
    <m/>
    <m/>
    <m/>
    <m/>
    <m/>
    <m/>
    <m/>
    <m/>
    <m/>
    <m/>
    <m/>
    <m/>
    <m/>
    <m/>
    <m/>
    <m/>
    <m/>
    <m/>
    <m/>
    <m/>
    <m/>
    <m/>
    <m/>
    <m/>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SamplePivotTable" cacheId="16" applyNumberFormats="0" applyBorderFormats="0" applyFontFormats="0" applyPatternFormats="0" applyAlignmentFormats="0" applyWidthHeightFormats="1" dataCaption="Data" updatedVersion="6" showMemberPropertyTips="0" useAutoFormatting="1" itemPrintTitles="1" createdVersion="1" indent="0" compact="0" compactData="0" gridDropZones="1">
  <location ref="A1:G14" firstHeaderRow="1" firstDataRow="1" firstDataCol="1"/>
  <pivotFields count="57">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15" dataOnRows="1" applyNumberFormats="0" applyBorderFormats="0" applyFontFormats="0" applyPatternFormats="0" applyAlignmentFormats="0" applyWidthHeightFormats="1" dataCaption="Data" updatedVersion="6" showMemberPropertyTips="0" useAutoFormatting="1" itemPrintTitles="1" createdVersion="1" indent="0" compact="0" compactData="0" gridDropZones="1">
  <location ref="A1:G14" firstHeaderRow="1" firstDataRow="1" firstDataCol="1"/>
  <pivotFields count="13">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oauth.wildapricot.org/auth/token" TargetMode="External"/><Relationship Id="rId1" Type="http://schemas.openxmlformats.org/officeDocument/2006/relationships/hyperlink" Target="https://api.wildapricot.org/"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tingsSheet"/>
  <dimension ref="A1:J52"/>
  <sheetViews>
    <sheetView tabSelected="1" zoomScale="85" zoomScaleNormal="85" workbookViewId="0">
      <selection activeCell="B3" sqref="B3"/>
    </sheetView>
  </sheetViews>
  <sheetFormatPr defaultRowHeight="14.4" x14ac:dyDescent="0.3"/>
  <cols>
    <col min="1" max="1" width="22.5546875" customWidth="1"/>
    <col min="2" max="2" width="54.33203125" customWidth="1"/>
    <col min="3" max="3" width="17" customWidth="1"/>
    <col min="4" max="4" width="36.5546875" customWidth="1"/>
    <col min="5" max="5" width="24.88671875" customWidth="1"/>
    <col min="9" max="9" width="33.5546875" bestFit="1" customWidth="1"/>
  </cols>
  <sheetData>
    <row r="1" spans="1:10" x14ac:dyDescent="0.3">
      <c r="A1" s="4" t="s">
        <v>35</v>
      </c>
    </row>
    <row r="2" spans="1:10" ht="17.399999999999999" x14ac:dyDescent="0.3">
      <c r="B2" s="29"/>
      <c r="C2" s="29"/>
    </row>
    <row r="3" spans="1:10" ht="15.6" x14ac:dyDescent="0.3">
      <c r="A3" s="3" t="s">
        <v>36</v>
      </c>
      <c r="B3" s="49"/>
      <c r="C3" s="4" t="s">
        <v>0</v>
      </c>
      <c r="D3" s="1"/>
      <c r="E3" s="1"/>
      <c r="F3" s="1"/>
      <c r="G3" s="1"/>
    </row>
    <row r="4" spans="1:10" ht="29.25" customHeight="1" x14ac:dyDescent="0.3">
      <c r="B4" s="57" t="s">
        <v>53</v>
      </c>
      <c r="C4" s="57"/>
      <c r="D4" s="57"/>
      <c r="E4" s="57"/>
      <c r="F4" s="1"/>
      <c r="G4" s="1"/>
    </row>
    <row r="5" spans="1:10" hidden="1" x14ac:dyDescent="0.3">
      <c r="A5" t="s">
        <v>1</v>
      </c>
      <c r="B5" s="2" t="s">
        <v>50</v>
      </c>
      <c r="C5" t="s">
        <v>51</v>
      </c>
      <c r="D5" s="26" t="s">
        <v>52</v>
      </c>
    </row>
    <row r="6" spans="1:10" ht="47.25" customHeight="1" thickBot="1" x14ac:dyDescent="0.4">
      <c r="A6" s="7" t="s">
        <v>5</v>
      </c>
      <c r="B6" s="19" t="s">
        <v>32</v>
      </c>
      <c r="C6" s="19" t="s">
        <v>33</v>
      </c>
      <c r="D6" s="57" t="s">
        <v>37</v>
      </c>
      <c r="E6" s="57"/>
      <c r="F6" s="57"/>
    </row>
    <row r="7" spans="1:10" ht="15" thickTop="1" x14ac:dyDescent="0.3">
      <c r="A7" s="6" t="s">
        <v>49</v>
      </c>
      <c r="B7" s="22" t="s">
        <v>21</v>
      </c>
      <c r="C7" s="40"/>
      <c r="D7" s="4" t="s">
        <v>42</v>
      </c>
    </row>
    <row r="8" spans="1:10" x14ac:dyDescent="0.3">
      <c r="A8" s="6" t="s">
        <v>46</v>
      </c>
      <c r="B8" s="22"/>
      <c r="C8" s="22"/>
      <c r="D8" s="4" t="s">
        <v>42</v>
      </c>
    </row>
    <row r="9" spans="1:10" x14ac:dyDescent="0.3">
      <c r="A9" s="6" t="s">
        <v>6</v>
      </c>
      <c r="B9" s="22" t="s">
        <v>10</v>
      </c>
      <c r="C9" s="22"/>
      <c r="D9" s="4" t="s">
        <v>43</v>
      </c>
      <c r="I9" s="37"/>
      <c r="J9" s="36"/>
    </row>
    <row r="10" spans="1:10" x14ac:dyDescent="0.3">
      <c r="A10" s="6" t="s">
        <v>47</v>
      </c>
      <c r="B10" s="30" t="s">
        <v>10</v>
      </c>
      <c r="C10" s="22" t="s">
        <v>13</v>
      </c>
      <c r="D10" s="4" t="s">
        <v>43</v>
      </c>
      <c r="I10" s="37"/>
    </row>
    <row r="11" spans="1:10" x14ac:dyDescent="0.3">
      <c r="A11" s="6" t="s">
        <v>48</v>
      </c>
      <c r="B11" s="30" t="s">
        <v>10</v>
      </c>
      <c r="C11" s="22"/>
      <c r="D11" s="4" t="s">
        <v>43</v>
      </c>
      <c r="G11" s="1"/>
    </row>
    <row r="12" spans="1:10" x14ac:dyDescent="0.3">
      <c r="A12" s="6"/>
      <c r="C12" s="4"/>
      <c r="D12" s="4"/>
    </row>
    <row r="13" spans="1:10" x14ac:dyDescent="0.3">
      <c r="A13" s="6"/>
      <c r="C13" s="4"/>
      <c r="D13" s="4"/>
    </row>
    <row r="14" spans="1:10" ht="18" thickBot="1" x14ac:dyDescent="0.4">
      <c r="A14" s="7" t="s">
        <v>64</v>
      </c>
      <c r="B14" s="19" t="s">
        <v>32</v>
      </c>
      <c r="C14" s="19" t="s">
        <v>33</v>
      </c>
      <c r="D14" s="57"/>
      <c r="E14" s="57"/>
      <c r="F14" s="57"/>
    </row>
    <row r="15" spans="1:10" ht="15" thickTop="1" x14ac:dyDescent="0.3">
      <c r="A15" s="6" t="s">
        <v>65</v>
      </c>
      <c r="B15" s="30" t="s">
        <v>10</v>
      </c>
      <c r="C15" s="40">
        <v>43161</v>
      </c>
      <c r="D15" s="4" t="s">
        <v>42</v>
      </c>
      <c r="I15" s="37"/>
    </row>
    <row r="16" spans="1:10" x14ac:dyDescent="0.3">
      <c r="A16" s="6" t="s">
        <v>66</v>
      </c>
      <c r="B16" s="30" t="s">
        <v>10</v>
      </c>
      <c r="C16" s="40">
        <v>43161</v>
      </c>
      <c r="D16" s="4" t="s">
        <v>42</v>
      </c>
      <c r="I16" s="37"/>
    </row>
    <row r="17" spans="1:5" x14ac:dyDescent="0.3">
      <c r="A17" s="32" t="s">
        <v>67</v>
      </c>
      <c r="B17" s="33"/>
      <c r="C17" s="22"/>
      <c r="D17" s="4"/>
    </row>
    <row r="18" spans="1:5" x14ac:dyDescent="0.3">
      <c r="A18" s="6"/>
      <c r="D18" s="4"/>
    </row>
    <row r="20" spans="1:5" x14ac:dyDescent="0.3">
      <c r="D20" s="20"/>
      <c r="E20" s="4" t="s">
        <v>44</v>
      </c>
    </row>
    <row r="21" spans="1:5" x14ac:dyDescent="0.3">
      <c r="D21" s="21"/>
      <c r="E21" s="4" t="s">
        <v>54</v>
      </c>
    </row>
    <row r="22" spans="1:5" x14ac:dyDescent="0.3">
      <c r="D22" s="21"/>
      <c r="E22" s="4" t="s">
        <v>55</v>
      </c>
    </row>
    <row r="23" spans="1:5" ht="18" thickBot="1" x14ac:dyDescent="0.4">
      <c r="A23" s="15" t="s">
        <v>4</v>
      </c>
      <c r="B23" s="15"/>
      <c r="C23" s="18"/>
      <c r="D23" s="43">
        <f>out_DataLoadedFinishedDate-out_DataLoadedDate</f>
        <v>0</v>
      </c>
      <c r="E23" s="42" t="s">
        <v>81</v>
      </c>
    </row>
    <row r="24" spans="1:5" ht="15.6" hidden="1" thickTop="1" thickBot="1" x14ac:dyDescent="0.35">
      <c r="A24" s="5" t="s">
        <v>41</v>
      </c>
      <c r="B24" s="16"/>
      <c r="C24" s="17"/>
      <c r="D24" s="44"/>
    </row>
    <row r="25" spans="1:5" ht="15.6" thickTop="1" thickBot="1" x14ac:dyDescent="0.35">
      <c r="A25" s="5" t="s">
        <v>2</v>
      </c>
      <c r="B25" s="28"/>
      <c r="D25" s="58" t="e">
        <f>COUNTA(Contacts!A:A)/(D23*1440)</f>
        <v>#DIV/0!</v>
      </c>
      <c r="E25" s="42" t="s">
        <v>82</v>
      </c>
    </row>
    <row r="26" spans="1:5" ht="15" thickBot="1" x14ac:dyDescent="0.35">
      <c r="A26" s="5" t="s">
        <v>3</v>
      </c>
      <c r="B26" s="27"/>
    </row>
    <row r="28" spans="1:5" x14ac:dyDescent="0.3">
      <c r="A28" s="6"/>
    </row>
    <row r="30" spans="1:5" x14ac:dyDescent="0.3">
      <c r="A30" s="31">
        <f ca="1">NOW()</f>
        <v>43280.650846990742</v>
      </c>
      <c r="B30" t="s">
        <v>68</v>
      </c>
    </row>
    <row r="45" spans="1:5" ht="28.8" hidden="1" x14ac:dyDescent="0.55000000000000004">
      <c r="A45" s="56" t="s">
        <v>30</v>
      </c>
      <c r="B45" s="56"/>
      <c r="C45" s="56"/>
      <c r="D45" s="56"/>
      <c r="E45" s="56"/>
    </row>
    <row r="46" spans="1:5" hidden="1" x14ac:dyDescent="0.3">
      <c r="A46" s="14" t="s">
        <v>29</v>
      </c>
      <c r="B46" s="14" t="s">
        <v>7</v>
      </c>
      <c r="C46" s="14" t="s">
        <v>12</v>
      </c>
      <c r="D46" s="14" t="s">
        <v>20</v>
      </c>
      <c r="E46" s="14" t="s">
        <v>8</v>
      </c>
    </row>
    <row r="47" spans="1:5" hidden="1" x14ac:dyDescent="0.3">
      <c r="A47" s="13"/>
      <c r="B47" s="13"/>
      <c r="C47" s="13"/>
      <c r="D47" s="13"/>
      <c r="E47" s="13"/>
    </row>
    <row r="48" spans="1:5" hidden="1" x14ac:dyDescent="0.3">
      <c r="A48" s="13" t="s">
        <v>21</v>
      </c>
      <c r="B48" s="13" t="s">
        <v>10</v>
      </c>
      <c r="C48" s="13" t="s">
        <v>13</v>
      </c>
      <c r="D48" s="13" t="s">
        <v>10</v>
      </c>
      <c r="E48" s="13" t="s">
        <v>15</v>
      </c>
    </row>
    <row r="49" spans="1:5" hidden="1" x14ac:dyDescent="0.3">
      <c r="A49" s="13" t="s">
        <v>9</v>
      </c>
      <c r="B49" s="13" t="s">
        <v>11</v>
      </c>
      <c r="C49" s="13" t="s">
        <v>14</v>
      </c>
      <c r="D49" s="13" t="s">
        <v>11</v>
      </c>
      <c r="E49" s="13" t="s">
        <v>16</v>
      </c>
    </row>
    <row r="50" spans="1:5" hidden="1" x14ac:dyDescent="0.3">
      <c r="A50" s="13" t="s">
        <v>10</v>
      </c>
      <c r="B50" s="13"/>
      <c r="C50" s="13"/>
      <c r="D50" s="13"/>
      <c r="E50" s="13" t="s">
        <v>17</v>
      </c>
    </row>
    <row r="51" spans="1:5" hidden="1" x14ac:dyDescent="0.3">
      <c r="A51" s="13" t="s">
        <v>11</v>
      </c>
      <c r="B51" s="13"/>
      <c r="C51" s="13"/>
      <c r="D51" s="13"/>
      <c r="E51" s="13" t="s">
        <v>18</v>
      </c>
    </row>
    <row r="52" spans="1:5" hidden="1" x14ac:dyDescent="0.3">
      <c r="A52" s="13"/>
      <c r="B52" s="13"/>
      <c r="C52" s="13"/>
      <c r="D52" s="13"/>
      <c r="E52" s="13" t="s">
        <v>19</v>
      </c>
    </row>
  </sheetData>
  <mergeCells count="4">
    <mergeCell ref="A45:E45"/>
    <mergeCell ref="D6:F6"/>
    <mergeCell ref="B4:E4"/>
    <mergeCell ref="D14:F14"/>
  </mergeCells>
  <dataValidations count="6">
    <dataValidation type="date" allowBlank="1" showInputMessage="1" showErrorMessage="1" sqref="C8" xr:uid="{00000000-0002-0000-0000-000000000000}">
      <formula1>36526</formula1>
      <formula2>73051</formula2>
    </dataValidation>
    <dataValidation type="list" allowBlank="1" showInputMessage="1" showErrorMessage="1" sqref="B7:B8" xr:uid="{00000000-0002-0000-0000-000001000000}">
      <formula1>$A$47:$A$51</formula1>
    </dataValidation>
    <dataValidation type="list" showInputMessage="1" showErrorMessage="1" sqref="B10:B13 B15:B18" xr:uid="{00000000-0002-0000-0000-000002000000}">
      <formula1>$B$48</formula1>
    </dataValidation>
    <dataValidation type="list" allowBlank="1" showInputMessage="1" showErrorMessage="1" sqref="C10:C11 C17" xr:uid="{00000000-0002-0000-0000-000003000000}">
      <formula1>$C$47:$C$49</formula1>
    </dataValidation>
    <dataValidation type="list" allowBlank="1" showInputMessage="1" showErrorMessage="1" sqref="C9" xr:uid="{00000000-0002-0000-0000-000004000000}">
      <formula1>$E$47:$E$52</formula1>
    </dataValidation>
    <dataValidation type="list" allowBlank="1" showInputMessage="1" showErrorMessage="1" sqref="B9" xr:uid="{00000000-0002-0000-0000-000005000000}">
      <formula1>$D$47:$D$49</formula1>
    </dataValidation>
  </dataValidations>
  <hyperlinks>
    <hyperlink ref="B5" r:id="rId1" xr:uid="{00000000-0004-0000-0000-000000000000}"/>
    <hyperlink ref="D5" r:id="rId2" xr:uid="{00000000-0004-0000-0000-00000100000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58" r:id="rId6" name="Button 34">
              <controlPr defaultSize="0" print="0" autoFill="0" autoPict="0" macro="[0]!WorksheetSizes">
                <anchor moveWithCells="1" sizeWithCells="1">
                  <from>
                    <xdr:col>0</xdr:col>
                    <xdr:colOff>60960</xdr:colOff>
                    <xdr:row>27</xdr:row>
                    <xdr:rowOff>30480</xdr:rowOff>
                  </from>
                  <to>
                    <xdr:col>1</xdr:col>
                    <xdr:colOff>0</xdr:colOff>
                    <xdr:row>28</xdr:row>
                    <xdr:rowOff>60960</xdr:rowOff>
                  </to>
                </anchor>
              </controlPr>
            </control>
          </mc:Choice>
        </mc:AlternateContent>
        <mc:AlternateContent xmlns:mc="http://schemas.openxmlformats.org/markup-compatibility/2006">
          <mc:Choice Requires="x14">
            <control shapeId="1025" r:id="rId7" name="LoadDataButton">
              <controlPr defaultSize="0" print="0" autoFill="0" autoPict="0" macro="[0]!DownloadButton_Click_MembershipData">
                <anchor moveWithCells="1" sizeWithCells="1">
                  <from>
                    <xdr:col>3</xdr:col>
                    <xdr:colOff>2598420</xdr:colOff>
                    <xdr:row>5</xdr:row>
                    <xdr:rowOff>594360</xdr:rowOff>
                  </from>
                  <to>
                    <xdr:col>6</xdr:col>
                    <xdr:colOff>640080</xdr:colOff>
                    <xdr:row>7</xdr:row>
                    <xdr:rowOff>167640</xdr:rowOff>
                  </to>
                </anchor>
              </controlPr>
            </control>
          </mc:Choice>
        </mc:AlternateContent>
        <mc:AlternateContent xmlns:mc="http://schemas.openxmlformats.org/markup-compatibility/2006">
          <mc:Choice Requires="x14">
            <control shapeId="1070" r:id="rId8" name="Button 46">
              <controlPr defaultSize="0" print="0" autoFill="0" autoPict="0" macro="[0]!DownloadButton_Click_AuditLogItems">
                <anchor moveWithCells="1" sizeWithCells="1">
                  <from>
                    <xdr:col>3</xdr:col>
                    <xdr:colOff>2606040</xdr:colOff>
                    <xdr:row>14</xdr:row>
                    <xdr:rowOff>7620</xdr:rowOff>
                  </from>
                  <to>
                    <xdr:col>7</xdr:col>
                    <xdr:colOff>7620</xdr:colOff>
                    <xdr:row>16</xdr:row>
                    <xdr:rowOff>0</xdr:rowOff>
                  </to>
                </anchor>
              </controlPr>
            </control>
          </mc:Choice>
        </mc:AlternateContent>
        <mc:AlternateContent xmlns:mc="http://schemas.openxmlformats.org/markup-compatibility/2006">
          <mc:Choice Requires="x14">
            <control shapeId="1762" r:id="rId9" name="Button 738">
              <controlPr defaultSize="0" print="0" autoFill="0" autoPict="0" macro="[0]!DownloadSummary">
                <anchor moveWithCells="1">
                  <from>
                    <xdr:col>3</xdr:col>
                    <xdr:colOff>2590800</xdr:colOff>
                    <xdr:row>10</xdr:row>
                    <xdr:rowOff>7620</xdr:rowOff>
                  </from>
                  <to>
                    <xdr:col>7</xdr:col>
                    <xdr:colOff>7620</xdr:colOff>
                    <xdr:row>12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ieldsSheet"/>
  <dimension ref="A1:J124"/>
  <sheetViews>
    <sheetView zoomScaleNormal="100" workbookViewId="0">
      <selection activeCell="B1" sqref="B1"/>
    </sheetView>
  </sheetViews>
  <sheetFormatPr defaultRowHeight="14.4" x14ac:dyDescent="0.3"/>
  <cols>
    <col min="1" max="1" width="25.109375" customWidth="1"/>
    <col min="2" max="2" width="10" customWidth="1"/>
    <col min="3" max="4" width="35.44140625" style="8" customWidth="1"/>
    <col min="5" max="5" width="31.5546875" customWidth="1"/>
    <col min="6" max="6" width="21.109375" style="25" customWidth="1"/>
    <col min="7" max="7" width="36.88671875" customWidth="1"/>
    <col min="8" max="10" width="0" hidden="1" customWidth="1"/>
  </cols>
  <sheetData>
    <row r="1" spans="1:10" ht="63" customHeight="1" thickBot="1" x14ac:dyDescent="0.35">
      <c r="A1" s="10" t="s">
        <v>39</v>
      </c>
      <c r="B1" s="10" t="s">
        <v>22</v>
      </c>
      <c r="C1" s="11" t="s">
        <v>24</v>
      </c>
      <c r="D1" s="11" t="s">
        <v>45</v>
      </c>
      <c r="E1" s="11" t="s">
        <v>40</v>
      </c>
      <c r="F1" s="23" t="s">
        <v>34</v>
      </c>
      <c r="G1" s="12" t="s">
        <v>38</v>
      </c>
      <c r="H1" t="s">
        <v>13</v>
      </c>
      <c r="I1" t="s">
        <v>14</v>
      </c>
      <c r="J1" s="4" t="s">
        <v>31</v>
      </c>
    </row>
    <row r="2" spans="1:10" s="8" customFormat="1" x14ac:dyDescent="0.3">
      <c r="F2" s="24"/>
    </row>
    <row r="3" spans="1:10" s="8" customFormat="1" x14ac:dyDescent="0.3">
      <c r="F3" s="24"/>
    </row>
    <row r="4" spans="1:10" s="8" customFormat="1" x14ac:dyDescent="0.3">
      <c r="F4" s="24"/>
    </row>
    <row r="5" spans="1:10" s="8" customFormat="1" x14ac:dyDescent="0.3">
      <c r="F5" s="24"/>
    </row>
    <row r="6" spans="1:10" s="8" customFormat="1" x14ac:dyDescent="0.3">
      <c r="F6" s="24"/>
    </row>
    <row r="7" spans="1:10" s="8" customFormat="1" x14ac:dyDescent="0.3">
      <c r="F7" s="24"/>
    </row>
    <row r="8" spans="1:10" s="8" customFormat="1" x14ac:dyDescent="0.3">
      <c r="F8" s="24"/>
    </row>
    <row r="9" spans="1:10" s="8" customFormat="1" x14ac:dyDescent="0.3">
      <c r="F9" s="24"/>
    </row>
    <row r="10" spans="1:10" s="8" customFormat="1" x14ac:dyDescent="0.3">
      <c r="F10" s="24"/>
    </row>
    <row r="11" spans="1:10" s="8" customFormat="1" x14ac:dyDescent="0.3">
      <c r="F11" s="24"/>
    </row>
    <row r="12" spans="1:10" s="8" customFormat="1" x14ac:dyDescent="0.3">
      <c r="F12" s="24"/>
    </row>
    <row r="13" spans="1:10" s="8" customFormat="1" x14ac:dyDescent="0.3">
      <c r="F13" s="24"/>
    </row>
    <row r="14" spans="1:10" s="8" customFormat="1" x14ac:dyDescent="0.3">
      <c r="F14" s="24"/>
    </row>
    <row r="15" spans="1:10" s="8" customFormat="1" x14ac:dyDescent="0.3">
      <c r="F15" s="24"/>
    </row>
    <row r="16" spans="1:10" s="8" customFormat="1" x14ac:dyDescent="0.3">
      <c r="C16" s="35"/>
      <c r="F16" s="24"/>
    </row>
    <row r="17" spans="1:7" s="8" customFormat="1" x14ac:dyDescent="0.3">
      <c r="F17" s="24"/>
    </row>
    <row r="18" spans="1:7" x14ac:dyDescent="0.3">
      <c r="A18" s="8"/>
      <c r="B18" s="8"/>
      <c r="E18" s="8"/>
      <c r="F18" s="24"/>
      <c r="G18" s="8"/>
    </row>
    <row r="19" spans="1:7" x14ac:dyDescent="0.3">
      <c r="A19" s="8"/>
      <c r="B19" s="8"/>
      <c r="E19" s="8"/>
      <c r="F19" s="24"/>
      <c r="G19" s="8"/>
    </row>
    <row r="20" spans="1:7" x14ac:dyDescent="0.3">
      <c r="A20" s="8"/>
      <c r="B20" s="8"/>
      <c r="E20" s="8"/>
      <c r="F20" s="24"/>
      <c r="G20" s="8"/>
    </row>
    <row r="21" spans="1:7" x14ac:dyDescent="0.3">
      <c r="A21" s="8"/>
      <c r="B21" s="8"/>
      <c r="E21" s="8"/>
      <c r="F21" s="24"/>
      <c r="G21" s="8"/>
    </row>
    <row r="22" spans="1:7" x14ac:dyDescent="0.3">
      <c r="A22" s="8"/>
      <c r="B22" s="8"/>
      <c r="E22" s="8"/>
      <c r="F22" s="24"/>
      <c r="G22" s="8"/>
    </row>
    <row r="23" spans="1:7" x14ac:dyDescent="0.3">
      <c r="A23" s="8"/>
      <c r="B23" s="8"/>
      <c r="E23" s="8"/>
      <c r="F23" s="24"/>
      <c r="G23" s="8"/>
    </row>
    <row r="24" spans="1:7" x14ac:dyDescent="0.3">
      <c r="A24" s="8"/>
      <c r="B24" s="8"/>
      <c r="E24" s="8"/>
      <c r="F24" s="24"/>
      <c r="G24" s="8"/>
    </row>
    <row r="25" spans="1:7" x14ac:dyDescent="0.3">
      <c r="A25" s="8"/>
      <c r="B25" s="8"/>
      <c r="E25" s="8"/>
      <c r="F25" s="24"/>
      <c r="G25" s="8"/>
    </row>
    <row r="26" spans="1:7" x14ac:dyDescent="0.3">
      <c r="A26" s="8"/>
      <c r="B26" s="8"/>
      <c r="E26" s="8"/>
      <c r="F26" s="24"/>
      <c r="G26" s="8"/>
    </row>
    <row r="27" spans="1:7" x14ac:dyDescent="0.3">
      <c r="A27" s="8"/>
      <c r="B27" s="8"/>
      <c r="E27" s="8"/>
      <c r="F27" s="24"/>
      <c r="G27" s="8"/>
    </row>
    <row r="28" spans="1:7" x14ac:dyDescent="0.3">
      <c r="A28" s="8"/>
      <c r="B28" s="8"/>
      <c r="E28" s="8"/>
      <c r="F28" s="24"/>
      <c r="G28" s="8"/>
    </row>
    <row r="29" spans="1:7" x14ac:dyDescent="0.3">
      <c r="A29" s="8"/>
      <c r="B29" s="8"/>
      <c r="E29" s="8"/>
      <c r="F29" s="24"/>
      <c r="G29" s="8"/>
    </row>
    <row r="30" spans="1:7" x14ac:dyDescent="0.3">
      <c r="A30" s="8"/>
      <c r="B30" s="8"/>
      <c r="E30" s="8"/>
      <c r="F30" s="24"/>
      <c r="G30" s="8"/>
    </row>
    <row r="31" spans="1:7" x14ac:dyDescent="0.3">
      <c r="A31" s="8"/>
      <c r="B31" s="8"/>
      <c r="E31" s="8"/>
      <c r="F31" s="24"/>
      <c r="G31" s="8"/>
    </row>
    <row r="32" spans="1:7" x14ac:dyDescent="0.3">
      <c r="A32" s="8"/>
      <c r="B32" s="8"/>
      <c r="E32" s="8"/>
      <c r="F32" s="24"/>
      <c r="G32" s="8"/>
    </row>
    <row r="33" spans="1:7" x14ac:dyDescent="0.3">
      <c r="A33" s="8"/>
      <c r="B33" s="8"/>
      <c r="E33" s="8"/>
      <c r="F33" s="24"/>
      <c r="G33" s="8"/>
    </row>
    <row r="34" spans="1:7" x14ac:dyDescent="0.3">
      <c r="A34" s="8"/>
      <c r="B34" s="8"/>
      <c r="E34" s="8"/>
      <c r="F34" s="24"/>
      <c r="G34" s="8"/>
    </row>
    <row r="35" spans="1:7" x14ac:dyDescent="0.3">
      <c r="A35" s="8"/>
      <c r="B35" s="8"/>
      <c r="E35" s="8"/>
      <c r="F35" s="24"/>
      <c r="G35" s="8"/>
    </row>
    <row r="36" spans="1:7" x14ac:dyDescent="0.3">
      <c r="A36" s="8"/>
      <c r="B36" s="8"/>
      <c r="E36" s="8"/>
      <c r="F36" s="24"/>
      <c r="G36" s="8"/>
    </row>
    <row r="37" spans="1:7" x14ac:dyDescent="0.3">
      <c r="A37" s="8"/>
      <c r="B37" s="8"/>
      <c r="E37" s="8"/>
      <c r="F37" s="24"/>
      <c r="G37" s="8"/>
    </row>
    <row r="38" spans="1:7" x14ac:dyDescent="0.3">
      <c r="A38" s="8"/>
      <c r="B38" s="8"/>
      <c r="E38" s="8"/>
      <c r="F38" s="24"/>
      <c r="G38" s="8"/>
    </row>
    <row r="39" spans="1:7" x14ac:dyDescent="0.3">
      <c r="A39" s="8"/>
      <c r="B39" s="8"/>
      <c r="E39" s="8"/>
      <c r="F39" s="24"/>
      <c r="G39" s="8"/>
    </row>
    <row r="40" spans="1:7" x14ac:dyDescent="0.3">
      <c r="A40" s="8"/>
      <c r="B40" s="8"/>
      <c r="E40" s="8"/>
      <c r="F40" s="24"/>
      <c r="G40" s="8"/>
    </row>
    <row r="41" spans="1:7" x14ac:dyDescent="0.3">
      <c r="A41" s="8"/>
      <c r="B41" s="8"/>
      <c r="E41" s="8"/>
      <c r="F41" s="24"/>
      <c r="G41" s="8"/>
    </row>
    <row r="42" spans="1:7" x14ac:dyDescent="0.3">
      <c r="A42" s="8"/>
      <c r="B42" s="8"/>
      <c r="E42" s="8"/>
      <c r="F42" s="24"/>
      <c r="G42" s="8"/>
    </row>
    <row r="43" spans="1:7" x14ac:dyDescent="0.3">
      <c r="A43" s="8"/>
      <c r="B43" s="8"/>
      <c r="E43" s="8"/>
      <c r="F43" s="24"/>
      <c r="G43" s="8"/>
    </row>
    <row r="44" spans="1:7" x14ac:dyDescent="0.3">
      <c r="A44" s="8"/>
      <c r="B44" s="8"/>
      <c r="E44" s="8"/>
      <c r="F44" s="24"/>
      <c r="G44" s="8"/>
    </row>
    <row r="45" spans="1:7" x14ac:dyDescent="0.3">
      <c r="A45" s="8"/>
      <c r="B45" s="8"/>
      <c r="E45" s="8"/>
      <c r="F45" s="24"/>
      <c r="G45" s="8"/>
    </row>
    <row r="46" spans="1:7" x14ac:dyDescent="0.3">
      <c r="A46" s="8"/>
      <c r="B46" s="8"/>
      <c r="E46" s="8"/>
      <c r="F46" s="24"/>
      <c r="G46" s="8"/>
    </row>
    <row r="47" spans="1:7" x14ac:dyDescent="0.3">
      <c r="A47" s="8"/>
      <c r="B47" s="8"/>
      <c r="E47" s="8"/>
      <c r="F47" s="24"/>
      <c r="G47" s="8"/>
    </row>
    <row r="48" spans="1:7" x14ac:dyDescent="0.3">
      <c r="A48" s="8"/>
      <c r="B48" s="8"/>
      <c r="E48" s="8"/>
      <c r="F48" s="24"/>
      <c r="G48" s="8"/>
    </row>
    <row r="49" spans="1:7" x14ac:dyDescent="0.3">
      <c r="A49" s="8"/>
      <c r="B49" s="8"/>
      <c r="E49" s="8"/>
      <c r="F49" s="24"/>
      <c r="G49" s="8"/>
    </row>
    <row r="50" spans="1:7" x14ac:dyDescent="0.3">
      <c r="A50" s="8"/>
      <c r="B50" s="8"/>
      <c r="E50" s="8"/>
      <c r="F50" s="24"/>
      <c r="G50" s="8"/>
    </row>
    <row r="51" spans="1:7" x14ac:dyDescent="0.3">
      <c r="A51" s="8"/>
      <c r="B51" s="8"/>
      <c r="E51" s="8"/>
      <c r="F51" s="24"/>
      <c r="G51" s="8"/>
    </row>
    <row r="52" spans="1:7" x14ac:dyDescent="0.3">
      <c r="A52" s="8"/>
      <c r="B52" s="8"/>
      <c r="E52" s="8"/>
      <c r="F52" s="24"/>
      <c r="G52" s="8"/>
    </row>
    <row r="53" spans="1:7" x14ac:dyDescent="0.3">
      <c r="A53" s="8"/>
      <c r="B53" s="8"/>
      <c r="E53" s="8"/>
      <c r="F53" s="24"/>
      <c r="G53" s="8"/>
    </row>
    <row r="54" spans="1:7" x14ac:dyDescent="0.3">
      <c r="A54" s="8"/>
      <c r="B54" s="8"/>
      <c r="E54" s="8"/>
      <c r="F54" s="24"/>
      <c r="G54" s="8"/>
    </row>
    <row r="55" spans="1:7" x14ac:dyDescent="0.3">
      <c r="A55" s="8"/>
      <c r="B55" s="8"/>
      <c r="E55" s="8"/>
      <c r="F55" s="24"/>
      <c r="G55" s="8"/>
    </row>
    <row r="56" spans="1:7" x14ac:dyDescent="0.3">
      <c r="A56" s="8"/>
      <c r="B56" s="8"/>
      <c r="E56" s="8"/>
      <c r="F56" s="24"/>
      <c r="G56" s="8"/>
    </row>
    <row r="57" spans="1:7" x14ac:dyDescent="0.3">
      <c r="A57" s="8"/>
      <c r="B57" s="8"/>
      <c r="E57" s="8"/>
      <c r="F57" s="24"/>
      <c r="G57" s="8"/>
    </row>
    <row r="58" spans="1:7" x14ac:dyDescent="0.3">
      <c r="A58" s="8"/>
      <c r="B58" s="8"/>
      <c r="E58" s="8"/>
      <c r="F58" s="24"/>
      <c r="G58" s="8"/>
    </row>
    <row r="59" spans="1:7" x14ac:dyDescent="0.3">
      <c r="A59" s="8"/>
      <c r="B59" s="8"/>
      <c r="E59" s="8"/>
      <c r="F59" s="24"/>
      <c r="G59" s="8"/>
    </row>
    <row r="60" spans="1:7" x14ac:dyDescent="0.3">
      <c r="A60" s="8"/>
      <c r="B60" s="8"/>
      <c r="E60" s="8"/>
      <c r="F60" s="24"/>
      <c r="G60" s="8"/>
    </row>
    <row r="61" spans="1:7" x14ac:dyDescent="0.3">
      <c r="A61" s="8"/>
      <c r="B61" s="8"/>
      <c r="E61" s="8"/>
      <c r="F61" s="24"/>
      <c r="G61" s="8"/>
    </row>
    <row r="62" spans="1:7" x14ac:dyDescent="0.3">
      <c r="A62" s="8"/>
      <c r="B62" s="8"/>
      <c r="E62" s="8"/>
      <c r="F62" s="24"/>
      <c r="G62" s="8"/>
    </row>
    <row r="63" spans="1:7" x14ac:dyDescent="0.3">
      <c r="A63" s="8"/>
      <c r="B63" s="8"/>
      <c r="E63" s="8"/>
      <c r="F63" s="24"/>
      <c r="G63" s="8"/>
    </row>
    <row r="64" spans="1:7" x14ac:dyDescent="0.3">
      <c r="A64" s="8"/>
      <c r="B64" s="8"/>
      <c r="E64" s="8"/>
      <c r="F64" s="24"/>
      <c r="G64" s="8"/>
    </row>
    <row r="65" spans="1:7" x14ac:dyDescent="0.3">
      <c r="A65" s="8"/>
      <c r="B65" s="8"/>
      <c r="E65" s="8"/>
      <c r="F65" s="24"/>
      <c r="G65" s="8"/>
    </row>
    <row r="66" spans="1:7" x14ac:dyDescent="0.3">
      <c r="A66" s="8"/>
      <c r="B66" s="8"/>
      <c r="E66" s="8"/>
      <c r="F66" s="24"/>
      <c r="G66" s="8"/>
    </row>
    <row r="67" spans="1:7" x14ac:dyDescent="0.3">
      <c r="A67" s="8"/>
      <c r="B67" s="8"/>
      <c r="E67" s="8"/>
      <c r="F67" s="24"/>
      <c r="G67" s="8"/>
    </row>
    <row r="68" spans="1:7" x14ac:dyDescent="0.3">
      <c r="A68" s="8"/>
      <c r="B68" s="8"/>
      <c r="E68" s="8"/>
      <c r="F68" s="24"/>
      <c r="G68" s="8"/>
    </row>
    <row r="69" spans="1:7" x14ac:dyDescent="0.3">
      <c r="A69" s="8"/>
      <c r="B69" s="8"/>
      <c r="E69" s="8"/>
      <c r="F69" s="24"/>
      <c r="G69" s="8"/>
    </row>
    <row r="70" spans="1:7" x14ac:dyDescent="0.3">
      <c r="A70" s="8"/>
      <c r="B70" s="8"/>
      <c r="E70" s="8"/>
      <c r="F70" s="24"/>
      <c r="G70" s="8"/>
    </row>
    <row r="71" spans="1:7" x14ac:dyDescent="0.3">
      <c r="A71" s="8"/>
      <c r="B71" s="8"/>
      <c r="E71" s="8"/>
      <c r="F71" s="24"/>
      <c r="G71" s="8"/>
    </row>
    <row r="72" spans="1:7" x14ac:dyDescent="0.3">
      <c r="A72" s="8"/>
      <c r="B72" s="8"/>
      <c r="E72" s="8"/>
      <c r="F72" s="24"/>
      <c r="G72" s="8"/>
    </row>
    <row r="73" spans="1:7" x14ac:dyDescent="0.3">
      <c r="A73" s="8"/>
      <c r="B73" s="8"/>
      <c r="E73" s="8"/>
      <c r="F73" s="24"/>
      <c r="G73" s="8"/>
    </row>
    <row r="74" spans="1:7" x14ac:dyDescent="0.3">
      <c r="A74" s="8"/>
      <c r="B74" s="8"/>
      <c r="E74" s="8"/>
      <c r="F74" s="24"/>
      <c r="G74" s="8"/>
    </row>
    <row r="75" spans="1:7" x14ac:dyDescent="0.3">
      <c r="A75" s="8"/>
      <c r="B75" s="8"/>
      <c r="E75" s="8"/>
      <c r="F75" s="24"/>
      <c r="G75" s="8"/>
    </row>
    <row r="76" spans="1:7" x14ac:dyDescent="0.3">
      <c r="A76" s="8"/>
      <c r="B76" s="8"/>
      <c r="E76" s="8"/>
      <c r="F76" s="24"/>
      <c r="G76" s="8"/>
    </row>
    <row r="77" spans="1:7" x14ac:dyDescent="0.3">
      <c r="A77" s="8"/>
      <c r="B77" s="8"/>
      <c r="E77" s="8"/>
      <c r="F77" s="24"/>
      <c r="G77" s="8"/>
    </row>
    <row r="78" spans="1:7" x14ac:dyDescent="0.3">
      <c r="A78" s="8"/>
      <c r="B78" s="8"/>
      <c r="E78" s="8"/>
      <c r="F78" s="24"/>
      <c r="G78" s="8"/>
    </row>
    <row r="79" spans="1:7" x14ac:dyDescent="0.3">
      <c r="A79" s="8"/>
      <c r="B79" s="8"/>
      <c r="E79" s="8"/>
      <c r="F79" s="24"/>
      <c r="G79" s="8"/>
    </row>
    <row r="80" spans="1:7" x14ac:dyDescent="0.3">
      <c r="A80" s="8"/>
      <c r="B80" s="8"/>
      <c r="E80" s="8"/>
      <c r="F80" s="24"/>
      <c r="G80" s="8"/>
    </row>
    <row r="81" spans="1:7" x14ac:dyDescent="0.3">
      <c r="A81" s="8"/>
      <c r="B81" s="8"/>
      <c r="E81" s="8"/>
      <c r="F81" s="24"/>
      <c r="G81" s="8"/>
    </row>
    <row r="82" spans="1:7" x14ac:dyDescent="0.3">
      <c r="A82" s="8"/>
      <c r="B82" s="8"/>
      <c r="E82" s="8"/>
      <c r="F82" s="24"/>
      <c r="G82" s="8"/>
    </row>
    <row r="83" spans="1:7" x14ac:dyDescent="0.3">
      <c r="A83" s="8"/>
      <c r="B83" s="8"/>
      <c r="E83" s="8"/>
      <c r="F83" s="24"/>
      <c r="G83" s="8"/>
    </row>
    <row r="84" spans="1:7" x14ac:dyDescent="0.3">
      <c r="A84" s="8"/>
      <c r="B84" s="8"/>
      <c r="E84" s="8"/>
      <c r="F84" s="24"/>
      <c r="G84" s="8"/>
    </row>
    <row r="85" spans="1:7" x14ac:dyDescent="0.3">
      <c r="A85" s="8"/>
      <c r="B85" s="8"/>
      <c r="E85" s="8"/>
      <c r="F85" s="24"/>
      <c r="G85" s="8"/>
    </row>
    <row r="86" spans="1:7" x14ac:dyDescent="0.3">
      <c r="A86" s="8"/>
      <c r="B86" s="8"/>
      <c r="E86" s="8"/>
      <c r="F86" s="24"/>
      <c r="G86" s="8"/>
    </row>
    <row r="87" spans="1:7" x14ac:dyDescent="0.3">
      <c r="A87" s="8"/>
      <c r="B87" s="8"/>
      <c r="E87" s="8"/>
      <c r="F87" s="24"/>
      <c r="G87" s="8"/>
    </row>
    <row r="88" spans="1:7" x14ac:dyDescent="0.3">
      <c r="A88" s="8"/>
      <c r="B88" s="8"/>
      <c r="E88" s="8"/>
      <c r="F88" s="24"/>
      <c r="G88" s="8"/>
    </row>
    <row r="89" spans="1:7" x14ac:dyDescent="0.3">
      <c r="A89" s="8"/>
      <c r="B89" s="8"/>
      <c r="E89" s="8"/>
      <c r="F89" s="24"/>
      <c r="G89" s="8"/>
    </row>
    <row r="90" spans="1:7" x14ac:dyDescent="0.3">
      <c r="A90" s="8"/>
      <c r="B90" s="8"/>
      <c r="E90" s="8"/>
      <c r="F90" s="24"/>
      <c r="G90" s="8"/>
    </row>
    <row r="91" spans="1:7" x14ac:dyDescent="0.3">
      <c r="A91" s="8"/>
      <c r="B91" s="8"/>
      <c r="E91" s="8"/>
      <c r="F91" s="24"/>
      <c r="G91" s="8"/>
    </row>
    <row r="92" spans="1:7" x14ac:dyDescent="0.3">
      <c r="A92" s="8"/>
      <c r="B92" s="8"/>
      <c r="E92" s="8"/>
      <c r="F92" s="24"/>
      <c r="G92" s="8"/>
    </row>
    <row r="93" spans="1:7" x14ac:dyDescent="0.3">
      <c r="A93" s="8"/>
      <c r="B93" s="8"/>
      <c r="E93" s="8"/>
      <c r="F93" s="24"/>
      <c r="G93" s="8"/>
    </row>
    <row r="94" spans="1:7" x14ac:dyDescent="0.3">
      <c r="A94" s="8"/>
      <c r="B94" s="8"/>
      <c r="E94" s="8"/>
      <c r="F94" s="24"/>
      <c r="G94" s="8"/>
    </row>
    <row r="95" spans="1:7" x14ac:dyDescent="0.3">
      <c r="A95" s="8"/>
      <c r="B95" s="8"/>
      <c r="E95" s="8"/>
      <c r="F95" s="24"/>
      <c r="G95" s="8"/>
    </row>
    <row r="96" spans="1:7" x14ac:dyDescent="0.3">
      <c r="A96" s="8"/>
      <c r="B96" s="8"/>
      <c r="E96" s="8"/>
      <c r="F96" s="24"/>
      <c r="G96" s="8"/>
    </row>
    <row r="97" spans="1:7" x14ac:dyDescent="0.3">
      <c r="A97" s="8"/>
      <c r="B97" s="8"/>
      <c r="E97" s="8"/>
      <c r="F97" s="24"/>
      <c r="G97" s="8"/>
    </row>
    <row r="98" spans="1:7" x14ac:dyDescent="0.3">
      <c r="A98" s="8"/>
      <c r="B98" s="8"/>
      <c r="E98" s="8"/>
      <c r="F98" s="24"/>
      <c r="G98" s="8"/>
    </row>
    <row r="99" spans="1:7" x14ac:dyDescent="0.3">
      <c r="A99" s="8"/>
      <c r="B99" s="8"/>
      <c r="E99" s="8"/>
      <c r="F99" s="24"/>
      <c r="G99" s="8"/>
    </row>
    <row r="100" spans="1:7" x14ac:dyDescent="0.3">
      <c r="A100" s="8"/>
      <c r="B100" s="8"/>
      <c r="E100" s="8"/>
      <c r="F100" s="24"/>
      <c r="G100" s="8"/>
    </row>
    <row r="101" spans="1:7" x14ac:dyDescent="0.3">
      <c r="A101" s="8"/>
      <c r="B101" s="8"/>
      <c r="E101" s="8"/>
      <c r="F101" s="24"/>
      <c r="G101" s="8"/>
    </row>
    <row r="102" spans="1:7" x14ac:dyDescent="0.3">
      <c r="A102" s="8"/>
      <c r="B102" s="8"/>
      <c r="E102" s="8"/>
      <c r="F102" s="24"/>
      <c r="G102" s="8"/>
    </row>
    <row r="103" spans="1:7" x14ac:dyDescent="0.3">
      <c r="A103" s="8"/>
      <c r="B103" s="8"/>
      <c r="E103" s="8"/>
      <c r="F103" s="24"/>
      <c r="G103" s="8"/>
    </row>
    <row r="104" spans="1:7" x14ac:dyDescent="0.3">
      <c r="A104" s="8"/>
      <c r="B104" s="8"/>
      <c r="E104" s="8"/>
      <c r="F104" s="24"/>
      <c r="G104" s="8"/>
    </row>
    <row r="105" spans="1:7" x14ac:dyDescent="0.3">
      <c r="A105" s="8"/>
      <c r="B105" s="8"/>
      <c r="E105" s="8"/>
      <c r="F105" s="24"/>
      <c r="G105" s="8"/>
    </row>
    <row r="106" spans="1:7" x14ac:dyDescent="0.3">
      <c r="A106" s="8"/>
      <c r="B106" s="8"/>
      <c r="E106" s="8"/>
      <c r="F106" s="24"/>
      <c r="G106" s="8"/>
    </row>
    <row r="107" spans="1:7" x14ac:dyDescent="0.3">
      <c r="A107" s="8"/>
      <c r="B107" s="8"/>
      <c r="E107" s="8"/>
      <c r="F107" s="24"/>
      <c r="G107" s="8"/>
    </row>
    <row r="108" spans="1:7" x14ac:dyDescent="0.3">
      <c r="A108" s="8"/>
      <c r="B108" s="8"/>
      <c r="E108" s="8"/>
      <c r="F108" s="24"/>
      <c r="G108" s="8"/>
    </row>
    <row r="109" spans="1:7" x14ac:dyDescent="0.3">
      <c r="A109" s="8"/>
      <c r="B109" s="8"/>
      <c r="E109" s="8"/>
      <c r="F109" s="24"/>
      <c r="G109" s="8"/>
    </row>
    <row r="110" spans="1:7" x14ac:dyDescent="0.3">
      <c r="A110" s="8"/>
      <c r="B110" s="8"/>
      <c r="E110" s="8"/>
      <c r="F110" s="24"/>
      <c r="G110" s="8"/>
    </row>
    <row r="111" spans="1:7" x14ac:dyDescent="0.3">
      <c r="A111" s="8"/>
      <c r="B111" s="8"/>
      <c r="E111" s="8"/>
      <c r="F111" s="24"/>
      <c r="G111" s="8"/>
    </row>
    <row r="112" spans="1:7" x14ac:dyDescent="0.3">
      <c r="A112" s="8"/>
      <c r="B112" s="8"/>
      <c r="E112" s="8"/>
      <c r="F112" s="24"/>
      <c r="G112" s="8"/>
    </row>
    <row r="113" spans="1:7" x14ac:dyDescent="0.3">
      <c r="A113" s="8"/>
      <c r="B113" s="8"/>
      <c r="E113" s="8"/>
      <c r="F113" s="24"/>
      <c r="G113" s="8"/>
    </row>
    <row r="114" spans="1:7" x14ac:dyDescent="0.3">
      <c r="A114" s="8"/>
      <c r="B114" s="8"/>
      <c r="E114" s="8"/>
      <c r="F114" s="24"/>
      <c r="G114" s="8"/>
    </row>
    <row r="115" spans="1:7" x14ac:dyDescent="0.3">
      <c r="A115" s="8"/>
      <c r="B115" s="8"/>
      <c r="E115" s="8"/>
      <c r="F115" s="24"/>
      <c r="G115" s="8"/>
    </row>
    <row r="116" spans="1:7" x14ac:dyDescent="0.3">
      <c r="A116" s="8"/>
      <c r="B116" s="8"/>
      <c r="E116" s="8"/>
      <c r="F116" s="24"/>
      <c r="G116" s="8"/>
    </row>
    <row r="117" spans="1:7" x14ac:dyDescent="0.3">
      <c r="A117" s="8"/>
      <c r="B117" s="8"/>
      <c r="E117" s="8"/>
      <c r="F117" s="24"/>
      <c r="G117" s="8"/>
    </row>
    <row r="118" spans="1:7" x14ac:dyDescent="0.3">
      <c r="A118" s="8"/>
      <c r="B118" s="8"/>
      <c r="E118" s="8"/>
      <c r="F118" s="24"/>
      <c r="G118" s="8"/>
    </row>
    <row r="119" spans="1:7" x14ac:dyDescent="0.3">
      <c r="A119" s="8"/>
      <c r="B119" s="8"/>
      <c r="E119" s="8"/>
      <c r="F119" s="24"/>
      <c r="G119" s="8"/>
    </row>
    <row r="120" spans="1:7" x14ac:dyDescent="0.3">
      <c r="A120" s="8"/>
      <c r="B120" s="8"/>
      <c r="E120" s="8"/>
      <c r="F120" s="24"/>
      <c r="G120" s="8"/>
    </row>
    <row r="121" spans="1:7" x14ac:dyDescent="0.3">
      <c r="A121" s="8"/>
      <c r="B121" s="8"/>
      <c r="E121" s="8"/>
      <c r="F121" s="24"/>
      <c r="G121" s="8"/>
    </row>
    <row r="122" spans="1:7" x14ac:dyDescent="0.3">
      <c r="A122" s="8"/>
      <c r="B122" s="8"/>
      <c r="E122" s="8"/>
      <c r="F122" s="24"/>
      <c r="G122" s="8"/>
    </row>
    <row r="123" spans="1:7" x14ac:dyDescent="0.3">
      <c r="A123" s="8"/>
      <c r="B123" s="8"/>
      <c r="E123" s="8"/>
      <c r="F123" s="24"/>
      <c r="G123" s="8"/>
    </row>
    <row r="124" spans="1:7" x14ac:dyDescent="0.3">
      <c r="A124" s="8"/>
      <c r="B124" s="8"/>
      <c r="E124" s="8"/>
      <c r="F124" s="24"/>
      <c r="G124" s="8"/>
    </row>
  </sheetData>
  <autoFilter ref="A1:F1" xr:uid="{00000000-0009-0000-0000-000001000000}"/>
  <dataValidations count="1">
    <dataValidation type="list" allowBlank="1" showInputMessage="1" showErrorMessage="1" error="Select Yes to retrieve data from API, or No to ignore it" sqref="F2:F124" xr:uid="{00000000-0002-0000-0100-000000000000}">
      <formula1>$H$1:$I$1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evelsSheet"/>
  <dimension ref="A1:G189"/>
  <sheetViews>
    <sheetView workbookViewId="0">
      <selection activeCell="C36" sqref="C36"/>
    </sheetView>
  </sheetViews>
  <sheetFormatPr defaultRowHeight="14.4" x14ac:dyDescent="0.3"/>
  <cols>
    <col min="1" max="5" width="19.109375" customWidth="1"/>
    <col min="6" max="6" width="19.33203125" customWidth="1"/>
  </cols>
  <sheetData>
    <row r="1" spans="1:7" ht="15" thickBot="1" x14ac:dyDescent="0.35">
      <c r="A1" s="9" t="s">
        <v>26</v>
      </c>
      <c r="B1" s="9" t="s">
        <v>25</v>
      </c>
      <c r="C1" s="9" t="s">
        <v>23</v>
      </c>
      <c r="D1" s="9" t="s">
        <v>27</v>
      </c>
      <c r="E1" s="9" t="s">
        <v>22</v>
      </c>
      <c r="F1" s="9" t="s">
        <v>28</v>
      </c>
      <c r="G1" s="8"/>
    </row>
    <row r="2" spans="1:7" x14ac:dyDescent="0.3">
      <c r="A2" s="8"/>
      <c r="B2" s="8"/>
      <c r="C2" s="8"/>
      <c r="D2" s="8"/>
      <c r="E2" s="8"/>
      <c r="F2" s="8"/>
      <c r="G2" s="8"/>
    </row>
    <row r="3" spans="1:7" x14ac:dyDescent="0.3">
      <c r="A3" s="8"/>
      <c r="B3" s="8"/>
      <c r="C3" s="8"/>
      <c r="D3" s="8"/>
      <c r="E3" s="8"/>
      <c r="F3" s="8"/>
      <c r="G3" s="8"/>
    </row>
    <row r="4" spans="1:7" x14ac:dyDescent="0.3">
      <c r="A4" s="8"/>
      <c r="B4" s="8"/>
      <c r="C4" s="8"/>
      <c r="D4" s="8"/>
      <c r="E4" s="8"/>
      <c r="F4" s="8"/>
      <c r="G4" s="8"/>
    </row>
    <row r="5" spans="1:7" x14ac:dyDescent="0.3">
      <c r="A5" s="8"/>
      <c r="B5" s="8"/>
      <c r="C5" s="8"/>
      <c r="D5" s="8"/>
      <c r="E5" s="8"/>
      <c r="F5" s="8"/>
      <c r="G5" s="8"/>
    </row>
    <row r="6" spans="1:7" x14ac:dyDescent="0.3">
      <c r="A6" s="8"/>
      <c r="B6" s="8"/>
      <c r="C6" s="8"/>
      <c r="D6" s="8"/>
      <c r="E6" s="8"/>
      <c r="F6" s="8"/>
      <c r="G6" s="8"/>
    </row>
    <row r="7" spans="1:7" x14ac:dyDescent="0.3">
      <c r="A7" s="8"/>
      <c r="B7" s="8"/>
      <c r="C7" s="8"/>
      <c r="D7" s="8"/>
      <c r="E7" s="8"/>
      <c r="F7" s="8"/>
      <c r="G7" s="8"/>
    </row>
    <row r="8" spans="1:7" x14ac:dyDescent="0.3">
      <c r="A8" s="8"/>
      <c r="B8" s="8"/>
      <c r="C8" s="8"/>
      <c r="D8" s="8"/>
      <c r="E8" s="8"/>
      <c r="F8" s="8"/>
      <c r="G8" s="8"/>
    </row>
    <row r="9" spans="1:7" x14ac:dyDescent="0.3">
      <c r="A9" s="8"/>
      <c r="B9" s="8"/>
      <c r="C9" s="8"/>
      <c r="D9" s="8"/>
      <c r="E9" s="8"/>
      <c r="F9" s="8"/>
      <c r="G9" s="8"/>
    </row>
    <row r="10" spans="1:7" x14ac:dyDescent="0.3">
      <c r="A10" s="8"/>
      <c r="B10" s="8"/>
      <c r="C10" s="8"/>
      <c r="D10" s="8"/>
      <c r="E10" s="8"/>
      <c r="F10" s="8"/>
      <c r="G10" s="8"/>
    </row>
    <row r="11" spans="1:7" x14ac:dyDescent="0.3">
      <c r="A11" s="8"/>
      <c r="B11" s="8"/>
      <c r="C11" s="8"/>
      <c r="D11" s="8"/>
      <c r="E11" s="8"/>
      <c r="F11" s="8"/>
      <c r="G11" s="8"/>
    </row>
    <row r="12" spans="1:7" x14ac:dyDescent="0.3">
      <c r="A12" s="8"/>
      <c r="B12" s="8"/>
      <c r="C12" s="8"/>
      <c r="D12" s="8"/>
      <c r="E12" s="8"/>
      <c r="F12" s="8"/>
      <c r="G12" s="8"/>
    </row>
    <row r="13" spans="1:7" x14ac:dyDescent="0.3">
      <c r="A13" s="8"/>
      <c r="B13" s="8"/>
      <c r="C13" s="8"/>
      <c r="D13" s="8"/>
      <c r="E13" s="8"/>
      <c r="F13" s="8"/>
      <c r="G13" s="8"/>
    </row>
    <row r="14" spans="1:7" x14ac:dyDescent="0.3">
      <c r="A14" s="8"/>
      <c r="B14" s="8"/>
      <c r="C14" s="8"/>
      <c r="D14" s="8"/>
      <c r="E14" s="8"/>
      <c r="F14" s="8"/>
      <c r="G14" s="8"/>
    </row>
    <row r="15" spans="1:7" x14ac:dyDescent="0.3">
      <c r="A15" s="8"/>
      <c r="B15" s="8"/>
      <c r="C15" s="8"/>
      <c r="D15" s="8"/>
      <c r="E15" s="8"/>
      <c r="F15" s="8"/>
      <c r="G15" s="8"/>
    </row>
    <row r="16" spans="1:7" x14ac:dyDescent="0.3">
      <c r="A16" s="8"/>
      <c r="B16" s="8"/>
      <c r="C16" s="35"/>
      <c r="D16" s="8"/>
      <c r="E16" s="8"/>
      <c r="F16" s="8"/>
      <c r="G16" s="8"/>
    </row>
    <row r="17" spans="1:7" x14ac:dyDescent="0.3">
      <c r="A17" s="8"/>
      <c r="B17" s="8"/>
      <c r="C17" s="8"/>
      <c r="D17" s="8"/>
      <c r="E17" s="8"/>
      <c r="F17" s="8"/>
      <c r="G17" s="8"/>
    </row>
    <row r="18" spans="1:7" x14ac:dyDescent="0.3">
      <c r="A18" s="8"/>
      <c r="B18" s="8"/>
      <c r="C18" s="8"/>
      <c r="D18" s="8"/>
      <c r="E18" s="8"/>
      <c r="F18" s="8"/>
      <c r="G18" s="8"/>
    </row>
    <row r="19" spans="1:7" x14ac:dyDescent="0.3">
      <c r="A19" s="8"/>
      <c r="B19" s="8"/>
      <c r="C19" s="8"/>
      <c r="D19" s="8"/>
      <c r="E19" s="8"/>
      <c r="F19" s="8"/>
      <c r="G19" s="8"/>
    </row>
    <row r="20" spans="1:7" x14ac:dyDescent="0.3">
      <c r="A20" s="8"/>
      <c r="B20" s="8"/>
      <c r="C20" s="8"/>
      <c r="D20" s="8"/>
      <c r="E20" s="8"/>
      <c r="F20" s="8"/>
      <c r="G20" s="8"/>
    </row>
    <row r="21" spans="1:7" x14ac:dyDescent="0.3">
      <c r="A21" s="8"/>
      <c r="B21" s="8"/>
      <c r="C21" s="8"/>
      <c r="D21" s="8"/>
      <c r="E21" s="8"/>
      <c r="F21" s="8"/>
      <c r="G21" s="8"/>
    </row>
    <row r="22" spans="1:7" x14ac:dyDescent="0.3">
      <c r="A22" s="8"/>
      <c r="B22" s="8"/>
      <c r="C22" s="8"/>
      <c r="D22" s="8"/>
      <c r="E22" s="8"/>
      <c r="F22" s="8"/>
      <c r="G22" s="8"/>
    </row>
    <row r="23" spans="1:7" x14ac:dyDescent="0.3">
      <c r="A23" s="8"/>
      <c r="B23" s="8"/>
      <c r="C23" s="8"/>
      <c r="D23" s="8"/>
      <c r="E23" s="8"/>
      <c r="F23" s="8"/>
      <c r="G23" s="8"/>
    </row>
    <row r="24" spans="1:7" x14ac:dyDescent="0.3">
      <c r="A24" s="8"/>
      <c r="B24" s="8"/>
      <c r="C24" s="8"/>
      <c r="D24" s="8"/>
      <c r="E24" s="8"/>
      <c r="F24" s="8"/>
      <c r="G24" s="8"/>
    </row>
    <row r="25" spans="1:7" x14ac:dyDescent="0.3">
      <c r="A25" s="8"/>
      <c r="B25" s="8"/>
      <c r="C25" s="8"/>
      <c r="D25" s="8"/>
      <c r="E25" s="8"/>
      <c r="F25" s="8"/>
      <c r="G25" s="8"/>
    </row>
    <row r="26" spans="1:7" x14ac:dyDescent="0.3">
      <c r="A26" s="8"/>
      <c r="B26" s="8"/>
      <c r="C26" s="8"/>
      <c r="D26" s="8"/>
      <c r="E26" s="8"/>
      <c r="F26" s="8"/>
      <c r="G26" s="8"/>
    </row>
    <row r="27" spans="1:7" x14ac:dyDescent="0.3">
      <c r="A27" s="8"/>
      <c r="B27" s="8"/>
      <c r="C27" s="8"/>
      <c r="D27" s="8"/>
      <c r="E27" s="8"/>
      <c r="F27" s="8"/>
      <c r="G27" s="8"/>
    </row>
    <row r="28" spans="1:7" x14ac:dyDescent="0.3">
      <c r="A28" s="8"/>
      <c r="B28" s="8"/>
      <c r="C28" s="8"/>
      <c r="D28" s="8"/>
      <c r="E28" s="8"/>
      <c r="F28" s="8"/>
      <c r="G28" s="8"/>
    </row>
    <row r="29" spans="1:7" x14ac:dyDescent="0.3">
      <c r="A29" s="8"/>
      <c r="B29" s="8"/>
      <c r="C29" s="8"/>
      <c r="D29" s="8"/>
      <c r="E29" s="8"/>
      <c r="F29" s="8"/>
      <c r="G29" s="8"/>
    </row>
    <row r="30" spans="1:7" x14ac:dyDescent="0.3">
      <c r="A30" s="8"/>
      <c r="B30" s="8"/>
      <c r="C30" s="8"/>
      <c r="D30" s="8"/>
      <c r="E30" s="8"/>
      <c r="F30" s="8"/>
      <c r="G30" s="8"/>
    </row>
    <row r="31" spans="1:7" x14ac:dyDescent="0.3">
      <c r="A31" s="8"/>
      <c r="B31" s="8"/>
      <c r="C31" s="8"/>
      <c r="D31" s="8"/>
      <c r="E31" s="8"/>
      <c r="F31" s="8"/>
      <c r="G31" s="8"/>
    </row>
    <row r="32" spans="1:7" x14ac:dyDescent="0.3">
      <c r="A32" s="8"/>
      <c r="B32" s="8"/>
      <c r="C32" s="8"/>
      <c r="D32" s="8"/>
      <c r="E32" s="8"/>
      <c r="F32" s="8"/>
      <c r="G32" s="8"/>
    </row>
    <row r="33" spans="1:7" x14ac:dyDescent="0.3">
      <c r="A33" s="8"/>
      <c r="B33" s="8"/>
      <c r="C33" s="8"/>
      <c r="D33" s="8"/>
      <c r="E33" s="8"/>
      <c r="F33" s="8"/>
      <c r="G33" s="8"/>
    </row>
    <row r="34" spans="1:7" x14ac:dyDescent="0.3">
      <c r="A34" s="8"/>
      <c r="B34" s="8"/>
      <c r="C34" s="8"/>
      <c r="D34" s="8"/>
      <c r="E34" s="8"/>
      <c r="F34" s="8"/>
      <c r="G34" s="8"/>
    </row>
    <row r="35" spans="1:7" x14ac:dyDescent="0.3">
      <c r="A35" s="8"/>
      <c r="B35" s="8"/>
      <c r="C35" s="8"/>
      <c r="D35" s="8"/>
      <c r="E35" s="8"/>
      <c r="F35" s="8"/>
      <c r="G35" s="8"/>
    </row>
    <row r="36" spans="1:7" x14ac:dyDescent="0.3">
      <c r="A36" s="8"/>
      <c r="B36" s="8"/>
      <c r="C36" s="8"/>
      <c r="D36" s="8"/>
      <c r="E36" s="8"/>
      <c r="F36" s="8"/>
      <c r="G36" s="8"/>
    </row>
    <row r="37" spans="1:7" x14ac:dyDescent="0.3">
      <c r="A37" s="8"/>
      <c r="B37" s="8"/>
      <c r="C37" s="8"/>
      <c r="D37" s="8"/>
      <c r="E37" s="8"/>
      <c r="F37" s="8"/>
      <c r="G37" s="8"/>
    </row>
    <row r="38" spans="1:7" x14ac:dyDescent="0.3">
      <c r="A38" s="8"/>
      <c r="B38" s="8"/>
      <c r="C38" s="8"/>
      <c r="D38" s="8"/>
      <c r="E38" s="8"/>
      <c r="F38" s="8"/>
      <c r="G38" s="8"/>
    </row>
    <row r="39" spans="1:7" x14ac:dyDescent="0.3">
      <c r="A39" s="8"/>
      <c r="B39" s="8"/>
      <c r="C39" s="8"/>
      <c r="D39" s="8"/>
      <c r="E39" s="8"/>
      <c r="F39" s="8"/>
      <c r="G39" s="8"/>
    </row>
    <row r="40" spans="1:7" x14ac:dyDescent="0.3">
      <c r="A40" s="8"/>
      <c r="B40" s="8"/>
      <c r="C40" s="8"/>
      <c r="D40" s="8"/>
      <c r="E40" s="8"/>
      <c r="F40" s="8"/>
      <c r="G40" s="8"/>
    </row>
    <row r="41" spans="1:7" x14ac:dyDescent="0.3">
      <c r="A41" s="8"/>
      <c r="B41" s="8"/>
      <c r="C41" s="8"/>
      <c r="D41" s="8"/>
      <c r="E41" s="8"/>
      <c r="F41" s="8"/>
      <c r="G41" s="8"/>
    </row>
    <row r="42" spans="1:7" x14ac:dyDescent="0.3">
      <c r="A42" s="8"/>
      <c r="B42" s="8"/>
      <c r="C42" s="8"/>
      <c r="D42" s="8"/>
      <c r="E42" s="8"/>
      <c r="F42" s="8"/>
      <c r="G42" s="8"/>
    </row>
    <row r="43" spans="1:7" x14ac:dyDescent="0.3">
      <c r="A43" s="8"/>
      <c r="B43" s="8"/>
      <c r="C43" s="8"/>
      <c r="D43" s="8"/>
      <c r="E43" s="8"/>
      <c r="F43" s="8"/>
      <c r="G43" s="8"/>
    </row>
    <row r="44" spans="1:7" x14ac:dyDescent="0.3">
      <c r="A44" s="8"/>
      <c r="B44" s="8"/>
      <c r="C44" s="8"/>
      <c r="D44" s="8"/>
      <c r="E44" s="8"/>
      <c r="F44" s="8"/>
      <c r="G44" s="8"/>
    </row>
    <row r="45" spans="1:7" x14ac:dyDescent="0.3">
      <c r="A45" s="8"/>
      <c r="B45" s="8"/>
      <c r="C45" s="8"/>
      <c r="D45" s="8"/>
      <c r="E45" s="8"/>
      <c r="F45" s="8"/>
      <c r="G45" s="8"/>
    </row>
    <row r="46" spans="1:7" x14ac:dyDescent="0.3">
      <c r="A46" s="8"/>
      <c r="B46" s="8"/>
      <c r="C46" s="8"/>
      <c r="D46" s="8"/>
      <c r="E46" s="8"/>
      <c r="F46" s="8"/>
      <c r="G46" s="8"/>
    </row>
    <row r="47" spans="1:7" x14ac:dyDescent="0.3">
      <c r="A47" s="8"/>
      <c r="B47" s="8"/>
      <c r="C47" s="8"/>
      <c r="D47" s="8"/>
      <c r="E47" s="8"/>
      <c r="F47" s="8"/>
      <c r="G47" s="8"/>
    </row>
    <row r="48" spans="1:7" x14ac:dyDescent="0.3">
      <c r="A48" s="8"/>
      <c r="B48" s="8"/>
      <c r="C48" s="8"/>
      <c r="D48" s="8"/>
      <c r="E48" s="8"/>
      <c r="F48" s="8"/>
      <c r="G48" s="8"/>
    </row>
    <row r="49" spans="1:7" x14ac:dyDescent="0.3">
      <c r="A49" s="8"/>
      <c r="B49" s="8"/>
      <c r="C49" s="8"/>
      <c r="D49" s="8"/>
      <c r="E49" s="8"/>
      <c r="F49" s="8"/>
      <c r="G49" s="8"/>
    </row>
    <row r="50" spans="1:7" x14ac:dyDescent="0.3">
      <c r="A50" s="8"/>
      <c r="B50" s="8"/>
      <c r="C50" s="8"/>
      <c r="D50" s="8"/>
      <c r="E50" s="8"/>
      <c r="F50" s="8"/>
      <c r="G50" s="8"/>
    </row>
    <row r="51" spans="1:7" x14ac:dyDescent="0.3">
      <c r="A51" s="8"/>
      <c r="B51" s="8"/>
      <c r="C51" s="8"/>
      <c r="D51" s="8"/>
      <c r="E51" s="8"/>
      <c r="F51" s="8"/>
      <c r="G51" s="8"/>
    </row>
    <row r="52" spans="1:7" x14ac:dyDescent="0.3">
      <c r="A52" s="8"/>
      <c r="B52" s="8"/>
      <c r="C52" s="8"/>
      <c r="D52" s="8"/>
      <c r="E52" s="8"/>
      <c r="F52" s="8"/>
      <c r="G52" s="8"/>
    </row>
    <row r="53" spans="1:7" x14ac:dyDescent="0.3">
      <c r="A53" s="8"/>
      <c r="B53" s="8"/>
      <c r="C53" s="8"/>
      <c r="D53" s="8"/>
      <c r="E53" s="8"/>
      <c r="F53" s="8"/>
      <c r="G53" s="8"/>
    </row>
    <row r="54" spans="1:7" x14ac:dyDescent="0.3">
      <c r="A54" s="8"/>
      <c r="B54" s="8"/>
      <c r="C54" s="8"/>
      <c r="D54" s="8"/>
      <c r="E54" s="8"/>
      <c r="F54" s="8"/>
      <c r="G54" s="8"/>
    </row>
    <row r="55" spans="1:7" x14ac:dyDescent="0.3">
      <c r="A55" s="8"/>
      <c r="B55" s="8"/>
      <c r="C55" s="8"/>
      <c r="D55" s="8"/>
      <c r="E55" s="8"/>
      <c r="F55" s="8"/>
      <c r="G55" s="8"/>
    </row>
    <row r="56" spans="1:7" x14ac:dyDescent="0.3">
      <c r="A56" s="8"/>
      <c r="B56" s="8"/>
      <c r="C56" s="8"/>
      <c r="D56" s="8"/>
      <c r="E56" s="8"/>
      <c r="F56" s="8"/>
      <c r="G56" s="8"/>
    </row>
    <row r="57" spans="1:7" x14ac:dyDescent="0.3">
      <c r="A57" s="8"/>
      <c r="B57" s="8"/>
      <c r="C57" s="8"/>
      <c r="D57" s="8"/>
      <c r="E57" s="8"/>
      <c r="F57" s="8"/>
      <c r="G57" s="8"/>
    </row>
    <row r="58" spans="1:7" x14ac:dyDescent="0.3">
      <c r="A58" s="8"/>
      <c r="B58" s="8"/>
      <c r="C58" s="8"/>
      <c r="D58" s="8"/>
      <c r="E58" s="8"/>
      <c r="F58" s="8"/>
      <c r="G58" s="8"/>
    </row>
    <row r="59" spans="1:7" x14ac:dyDescent="0.3">
      <c r="A59" s="8"/>
      <c r="B59" s="8"/>
      <c r="C59" s="8"/>
      <c r="D59" s="8"/>
      <c r="E59" s="8"/>
      <c r="F59" s="8"/>
      <c r="G59" s="8"/>
    </row>
    <row r="60" spans="1:7" x14ac:dyDescent="0.3">
      <c r="A60" s="8"/>
      <c r="B60" s="8"/>
      <c r="C60" s="8"/>
      <c r="D60" s="8"/>
      <c r="E60" s="8"/>
      <c r="F60" s="8"/>
      <c r="G60" s="8"/>
    </row>
    <row r="61" spans="1:7" x14ac:dyDescent="0.3">
      <c r="A61" s="8"/>
      <c r="B61" s="8"/>
      <c r="C61" s="8"/>
      <c r="D61" s="8"/>
      <c r="E61" s="8"/>
      <c r="F61" s="8"/>
      <c r="G61" s="8"/>
    </row>
    <row r="62" spans="1:7" x14ac:dyDescent="0.3">
      <c r="A62" s="8"/>
      <c r="B62" s="8"/>
      <c r="C62" s="8"/>
      <c r="D62" s="8"/>
      <c r="E62" s="8"/>
      <c r="F62" s="8"/>
      <c r="G62" s="8"/>
    </row>
    <row r="63" spans="1:7" x14ac:dyDescent="0.3">
      <c r="A63" s="8"/>
      <c r="B63" s="8"/>
      <c r="C63" s="8"/>
      <c r="D63" s="8"/>
      <c r="E63" s="8"/>
      <c r="F63" s="8"/>
      <c r="G63" s="8"/>
    </row>
    <row r="64" spans="1:7" x14ac:dyDescent="0.3">
      <c r="A64" s="8"/>
      <c r="B64" s="8"/>
      <c r="C64" s="8"/>
      <c r="D64" s="8"/>
      <c r="E64" s="8"/>
      <c r="F64" s="8"/>
      <c r="G64" s="8"/>
    </row>
    <row r="65" spans="1:7" x14ac:dyDescent="0.3">
      <c r="A65" s="8"/>
      <c r="B65" s="8"/>
      <c r="C65" s="8"/>
      <c r="D65" s="8"/>
      <c r="E65" s="8"/>
      <c r="F65" s="8"/>
      <c r="G65" s="8"/>
    </row>
    <row r="66" spans="1:7" x14ac:dyDescent="0.3">
      <c r="A66" s="8"/>
      <c r="B66" s="8"/>
      <c r="C66" s="8"/>
      <c r="D66" s="8"/>
      <c r="E66" s="8"/>
      <c r="F66" s="8"/>
      <c r="G66" s="8"/>
    </row>
    <row r="67" spans="1:7" x14ac:dyDescent="0.3">
      <c r="A67" s="8"/>
      <c r="B67" s="8"/>
      <c r="C67" s="8"/>
      <c r="D67" s="8"/>
      <c r="E67" s="8"/>
      <c r="F67" s="8"/>
      <c r="G67" s="8"/>
    </row>
    <row r="68" spans="1:7" x14ac:dyDescent="0.3">
      <c r="A68" s="8"/>
      <c r="B68" s="8"/>
      <c r="C68" s="8"/>
      <c r="D68" s="8"/>
      <c r="E68" s="8"/>
      <c r="F68" s="8"/>
      <c r="G68" s="8"/>
    </row>
    <row r="69" spans="1:7" x14ac:dyDescent="0.3">
      <c r="A69" s="8"/>
      <c r="B69" s="8"/>
      <c r="C69" s="8"/>
      <c r="D69" s="8"/>
      <c r="E69" s="8"/>
      <c r="F69" s="8"/>
      <c r="G69" s="8"/>
    </row>
    <row r="70" spans="1:7" x14ac:dyDescent="0.3">
      <c r="A70" s="8"/>
      <c r="B70" s="8"/>
      <c r="C70" s="8"/>
      <c r="D70" s="8"/>
      <c r="E70" s="8"/>
      <c r="F70" s="8"/>
      <c r="G70" s="8"/>
    </row>
    <row r="71" spans="1:7" x14ac:dyDescent="0.3">
      <c r="A71" s="8"/>
      <c r="B71" s="8"/>
      <c r="C71" s="8"/>
      <c r="D71" s="8"/>
      <c r="E71" s="8"/>
      <c r="F71" s="8"/>
      <c r="G71" s="8"/>
    </row>
    <row r="72" spans="1:7" x14ac:dyDescent="0.3">
      <c r="A72" s="8"/>
      <c r="B72" s="8"/>
      <c r="C72" s="8"/>
      <c r="D72" s="8"/>
      <c r="E72" s="8"/>
      <c r="F72" s="8"/>
      <c r="G72" s="8"/>
    </row>
    <row r="73" spans="1:7" x14ac:dyDescent="0.3">
      <c r="A73" s="8"/>
      <c r="B73" s="8"/>
      <c r="C73" s="8"/>
      <c r="D73" s="8"/>
      <c r="E73" s="8"/>
      <c r="F73" s="8"/>
      <c r="G73" s="8"/>
    </row>
    <row r="74" spans="1:7" x14ac:dyDescent="0.3">
      <c r="A74" s="8"/>
      <c r="B74" s="8"/>
      <c r="C74" s="8"/>
      <c r="D74" s="8"/>
      <c r="E74" s="8"/>
      <c r="F74" s="8"/>
      <c r="G74" s="8"/>
    </row>
    <row r="75" spans="1:7" x14ac:dyDescent="0.3">
      <c r="A75" s="8"/>
      <c r="B75" s="8"/>
      <c r="C75" s="8"/>
      <c r="D75" s="8"/>
      <c r="E75" s="8"/>
      <c r="F75" s="8"/>
      <c r="G75" s="8"/>
    </row>
    <row r="76" spans="1:7" x14ac:dyDescent="0.3">
      <c r="A76" s="8"/>
      <c r="B76" s="8"/>
      <c r="C76" s="8"/>
      <c r="D76" s="8"/>
      <c r="E76" s="8"/>
      <c r="F76" s="8"/>
      <c r="G76" s="8"/>
    </row>
    <row r="77" spans="1:7" x14ac:dyDescent="0.3">
      <c r="A77" s="8"/>
      <c r="B77" s="8"/>
      <c r="C77" s="8"/>
      <c r="D77" s="8"/>
      <c r="E77" s="8"/>
      <c r="F77" s="8"/>
      <c r="G77" s="8"/>
    </row>
    <row r="78" spans="1:7" x14ac:dyDescent="0.3">
      <c r="A78" s="8"/>
      <c r="B78" s="8"/>
      <c r="C78" s="8"/>
      <c r="D78" s="8"/>
      <c r="E78" s="8"/>
      <c r="F78" s="8"/>
      <c r="G78" s="8"/>
    </row>
    <row r="79" spans="1:7" x14ac:dyDescent="0.3">
      <c r="A79" s="8"/>
      <c r="B79" s="8"/>
      <c r="C79" s="8"/>
      <c r="D79" s="8"/>
      <c r="E79" s="8"/>
      <c r="F79" s="8"/>
      <c r="G79" s="8"/>
    </row>
    <row r="80" spans="1:7" x14ac:dyDescent="0.3">
      <c r="A80" s="8"/>
      <c r="B80" s="8"/>
      <c r="C80" s="8"/>
      <c r="D80" s="8"/>
      <c r="E80" s="8"/>
      <c r="F80" s="8"/>
      <c r="G80" s="8"/>
    </row>
    <row r="81" spans="1:7" x14ac:dyDescent="0.3">
      <c r="A81" s="8"/>
      <c r="B81" s="8"/>
      <c r="C81" s="8"/>
      <c r="D81" s="8"/>
      <c r="E81" s="8"/>
      <c r="F81" s="8"/>
      <c r="G81" s="8"/>
    </row>
    <row r="82" spans="1:7" x14ac:dyDescent="0.3">
      <c r="A82" s="8"/>
      <c r="B82" s="8"/>
      <c r="C82" s="8"/>
      <c r="D82" s="8"/>
      <c r="E82" s="8"/>
      <c r="F82" s="8"/>
      <c r="G82" s="8"/>
    </row>
    <row r="83" spans="1:7" x14ac:dyDescent="0.3">
      <c r="A83" s="8"/>
      <c r="B83" s="8"/>
      <c r="C83" s="8"/>
      <c r="D83" s="8"/>
      <c r="E83" s="8"/>
      <c r="F83" s="8"/>
      <c r="G83" s="8"/>
    </row>
    <row r="84" spans="1:7" x14ac:dyDescent="0.3">
      <c r="A84" s="8"/>
      <c r="B84" s="8"/>
      <c r="C84" s="8"/>
      <c r="D84" s="8"/>
      <c r="E84" s="8"/>
      <c r="F84" s="8"/>
      <c r="G84" s="8"/>
    </row>
    <row r="85" spans="1:7" x14ac:dyDescent="0.3">
      <c r="A85" s="8"/>
      <c r="B85" s="8"/>
      <c r="C85" s="8"/>
      <c r="D85" s="8"/>
      <c r="E85" s="8"/>
      <c r="F85" s="8"/>
      <c r="G85" s="8"/>
    </row>
    <row r="86" spans="1:7" x14ac:dyDescent="0.3">
      <c r="A86" s="8"/>
      <c r="B86" s="8"/>
      <c r="C86" s="8"/>
      <c r="D86" s="8"/>
      <c r="E86" s="8"/>
      <c r="F86" s="8"/>
      <c r="G86" s="8"/>
    </row>
    <row r="87" spans="1:7" x14ac:dyDescent="0.3">
      <c r="A87" s="8"/>
      <c r="B87" s="8"/>
      <c r="C87" s="8"/>
      <c r="D87" s="8"/>
      <c r="E87" s="8"/>
      <c r="F87" s="8"/>
      <c r="G87" s="8"/>
    </row>
    <row r="88" spans="1:7" x14ac:dyDescent="0.3">
      <c r="A88" s="8"/>
      <c r="B88" s="8"/>
      <c r="C88" s="8"/>
      <c r="D88" s="8"/>
      <c r="E88" s="8"/>
      <c r="F88" s="8"/>
      <c r="G88" s="8"/>
    </row>
    <row r="89" spans="1:7" x14ac:dyDescent="0.3">
      <c r="A89" s="8"/>
      <c r="B89" s="8"/>
      <c r="C89" s="8"/>
      <c r="D89" s="8"/>
      <c r="E89" s="8"/>
      <c r="F89" s="8"/>
      <c r="G89" s="8"/>
    </row>
    <row r="90" spans="1:7" x14ac:dyDescent="0.3">
      <c r="A90" s="8"/>
      <c r="B90" s="8"/>
      <c r="C90" s="8"/>
      <c r="D90" s="8"/>
      <c r="E90" s="8"/>
      <c r="F90" s="8"/>
    </row>
    <row r="91" spans="1:7" x14ac:dyDescent="0.3">
      <c r="A91" s="8"/>
      <c r="B91" s="8"/>
      <c r="C91" s="8"/>
      <c r="D91" s="8"/>
      <c r="E91" s="8"/>
      <c r="F91" s="8"/>
    </row>
    <row r="92" spans="1:7" x14ac:dyDescent="0.3">
      <c r="A92" s="8"/>
      <c r="B92" s="8"/>
      <c r="C92" s="8"/>
      <c r="D92" s="8"/>
      <c r="E92" s="8"/>
      <c r="F92" s="8"/>
    </row>
    <row r="93" spans="1:7" x14ac:dyDescent="0.3">
      <c r="A93" s="8"/>
      <c r="B93" s="8"/>
      <c r="C93" s="8"/>
      <c r="D93" s="8"/>
      <c r="E93" s="8"/>
      <c r="F93" s="8"/>
    </row>
    <row r="94" spans="1:7" x14ac:dyDescent="0.3">
      <c r="A94" s="8"/>
      <c r="B94" s="8"/>
      <c r="C94" s="8"/>
      <c r="D94" s="8"/>
      <c r="E94" s="8"/>
      <c r="F94" s="8"/>
    </row>
    <row r="95" spans="1:7" x14ac:dyDescent="0.3">
      <c r="A95" s="8"/>
      <c r="B95" s="8"/>
      <c r="C95" s="8"/>
      <c r="D95" s="8"/>
      <c r="E95" s="8"/>
      <c r="F95" s="8"/>
    </row>
    <row r="96" spans="1:7" x14ac:dyDescent="0.3">
      <c r="A96" s="8"/>
      <c r="B96" s="8"/>
      <c r="C96" s="8"/>
      <c r="D96" s="8"/>
      <c r="E96" s="8"/>
      <c r="F96" s="8"/>
    </row>
    <row r="97" spans="1:6" x14ac:dyDescent="0.3">
      <c r="A97" s="8"/>
      <c r="B97" s="8"/>
      <c r="C97" s="8"/>
      <c r="D97" s="8"/>
      <c r="E97" s="8"/>
      <c r="F97" s="8"/>
    </row>
    <row r="98" spans="1:6" x14ac:dyDescent="0.3">
      <c r="A98" s="8"/>
      <c r="B98" s="8"/>
      <c r="C98" s="8"/>
      <c r="D98" s="8"/>
      <c r="E98" s="8"/>
      <c r="F98" s="8"/>
    </row>
    <row r="99" spans="1:6" x14ac:dyDescent="0.3">
      <c r="A99" s="8"/>
      <c r="B99" s="8"/>
      <c r="C99" s="8"/>
      <c r="D99" s="8"/>
      <c r="E99" s="8"/>
      <c r="F99" s="8"/>
    </row>
    <row r="100" spans="1:6" x14ac:dyDescent="0.3">
      <c r="A100" s="8"/>
      <c r="B100" s="8"/>
      <c r="C100" s="8"/>
      <c r="D100" s="8"/>
      <c r="E100" s="8"/>
      <c r="F100" s="8"/>
    </row>
    <row r="101" spans="1:6" x14ac:dyDescent="0.3">
      <c r="A101" s="8"/>
      <c r="B101" s="8"/>
      <c r="C101" s="8"/>
      <c r="D101" s="8"/>
      <c r="E101" s="8"/>
      <c r="F101" s="8"/>
    </row>
    <row r="102" spans="1:6" x14ac:dyDescent="0.3">
      <c r="A102" s="8"/>
      <c r="B102" s="8"/>
      <c r="C102" s="8"/>
      <c r="D102" s="8"/>
      <c r="E102" s="8"/>
      <c r="F102" s="8"/>
    </row>
    <row r="103" spans="1:6" x14ac:dyDescent="0.3">
      <c r="A103" s="8"/>
      <c r="B103" s="8"/>
      <c r="C103" s="8"/>
      <c r="D103" s="8"/>
      <c r="E103" s="8"/>
      <c r="F103" s="8"/>
    </row>
    <row r="104" spans="1:6" x14ac:dyDescent="0.3">
      <c r="A104" s="8"/>
      <c r="B104" s="8"/>
      <c r="C104" s="8"/>
      <c r="D104" s="8"/>
      <c r="E104" s="8"/>
      <c r="F104" s="8"/>
    </row>
    <row r="105" spans="1:6" x14ac:dyDescent="0.3">
      <c r="A105" s="8"/>
      <c r="B105" s="8"/>
      <c r="C105" s="8"/>
      <c r="D105" s="8"/>
      <c r="E105" s="8"/>
      <c r="F105" s="8"/>
    </row>
    <row r="106" spans="1:6" x14ac:dyDescent="0.3">
      <c r="A106" s="8"/>
      <c r="B106" s="8"/>
      <c r="C106" s="8"/>
      <c r="D106" s="8"/>
      <c r="E106" s="8"/>
      <c r="F106" s="8"/>
    </row>
    <row r="107" spans="1:6" x14ac:dyDescent="0.3">
      <c r="A107" s="8"/>
      <c r="B107" s="8"/>
      <c r="C107" s="8"/>
      <c r="D107" s="8"/>
      <c r="E107" s="8"/>
      <c r="F107" s="8"/>
    </row>
    <row r="108" spans="1:6" x14ac:dyDescent="0.3">
      <c r="A108" s="8"/>
      <c r="B108" s="8"/>
      <c r="C108" s="8"/>
      <c r="D108" s="8"/>
      <c r="E108" s="8"/>
      <c r="F108" s="8"/>
    </row>
    <row r="109" spans="1:6" x14ac:dyDescent="0.3">
      <c r="A109" s="8"/>
      <c r="B109" s="8"/>
      <c r="C109" s="8"/>
      <c r="D109" s="8"/>
      <c r="E109" s="8"/>
      <c r="F109" s="8"/>
    </row>
    <row r="110" spans="1:6" x14ac:dyDescent="0.3">
      <c r="A110" s="8"/>
      <c r="B110" s="8"/>
      <c r="C110" s="8"/>
      <c r="D110" s="8"/>
      <c r="E110" s="8"/>
      <c r="F110" s="8"/>
    </row>
    <row r="111" spans="1:6" x14ac:dyDescent="0.3">
      <c r="A111" s="8"/>
      <c r="B111" s="8"/>
      <c r="C111" s="8"/>
      <c r="D111" s="8"/>
      <c r="E111" s="8"/>
      <c r="F111" s="8"/>
    </row>
    <row r="112" spans="1:6" x14ac:dyDescent="0.3">
      <c r="A112" s="8"/>
      <c r="B112" s="8"/>
      <c r="C112" s="8"/>
      <c r="D112" s="8"/>
      <c r="E112" s="8"/>
      <c r="F112" s="8"/>
    </row>
    <row r="113" spans="1:6" x14ac:dyDescent="0.3">
      <c r="A113" s="8"/>
      <c r="B113" s="8"/>
      <c r="C113" s="8"/>
      <c r="D113" s="8"/>
      <c r="E113" s="8"/>
      <c r="F113" s="8"/>
    </row>
    <row r="114" spans="1:6" x14ac:dyDescent="0.3">
      <c r="A114" s="8"/>
      <c r="B114" s="8"/>
      <c r="C114" s="8"/>
      <c r="D114" s="8"/>
      <c r="E114" s="8"/>
      <c r="F114" s="8"/>
    </row>
    <row r="115" spans="1:6" x14ac:dyDescent="0.3">
      <c r="A115" s="8"/>
      <c r="B115" s="8"/>
      <c r="C115" s="8"/>
      <c r="D115" s="8"/>
      <c r="E115" s="8"/>
      <c r="F115" s="8"/>
    </row>
    <row r="116" spans="1:6" x14ac:dyDescent="0.3">
      <c r="A116" s="8"/>
      <c r="B116" s="8"/>
      <c r="C116" s="8"/>
      <c r="D116" s="8"/>
      <c r="E116" s="8"/>
      <c r="F116" s="8"/>
    </row>
    <row r="117" spans="1:6" x14ac:dyDescent="0.3">
      <c r="A117" s="8"/>
      <c r="B117" s="8"/>
      <c r="C117" s="8"/>
      <c r="D117" s="8"/>
      <c r="E117" s="8"/>
      <c r="F117" s="8"/>
    </row>
    <row r="118" spans="1:6" x14ac:dyDescent="0.3">
      <c r="A118" s="8"/>
      <c r="B118" s="8"/>
      <c r="C118" s="8"/>
      <c r="D118" s="8"/>
      <c r="E118" s="8"/>
      <c r="F118" s="8"/>
    </row>
    <row r="119" spans="1:6" x14ac:dyDescent="0.3">
      <c r="A119" s="8"/>
      <c r="B119" s="8"/>
      <c r="C119" s="8"/>
      <c r="D119" s="8"/>
      <c r="E119" s="8"/>
      <c r="F119" s="8"/>
    </row>
    <row r="120" spans="1:6" x14ac:dyDescent="0.3">
      <c r="A120" s="8"/>
      <c r="B120" s="8"/>
      <c r="C120" s="8"/>
      <c r="D120" s="8"/>
      <c r="E120" s="8"/>
      <c r="F120" s="8"/>
    </row>
    <row r="121" spans="1:6" x14ac:dyDescent="0.3">
      <c r="A121" s="8"/>
      <c r="B121" s="8"/>
      <c r="C121" s="8"/>
      <c r="D121" s="8"/>
      <c r="E121" s="8"/>
      <c r="F121" s="8"/>
    </row>
    <row r="122" spans="1:6" x14ac:dyDescent="0.3">
      <c r="A122" s="8"/>
      <c r="B122" s="8"/>
      <c r="C122" s="8"/>
      <c r="D122" s="8"/>
      <c r="E122" s="8"/>
      <c r="F122" s="8"/>
    </row>
    <row r="123" spans="1:6" x14ac:dyDescent="0.3">
      <c r="A123" s="8"/>
      <c r="B123" s="8"/>
      <c r="C123" s="8"/>
      <c r="D123" s="8"/>
      <c r="E123" s="8"/>
      <c r="F123" s="8"/>
    </row>
    <row r="124" spans="1:6" x14ac:dyDescent="0.3">
      <c r="A124" s="8"/>
      <c r="B124" s="8"/>
      <c r="C124" s="8"/>
      <c r="D124" s="8"/>
      <c r="E124" s="8"/>
      <c r="F124" s="8"/>
    </row>
    <row r="125" spans="1:6" x14ac:dyDescent="0.3">
      <c r="A125" s="8"/>
      <c r="B125" s="8"/>
      <c r="C125" s="8"/>
      <c r="D125" s="8"/>
      <c r="E125" s="8"/>
      <c r="F125" s="8"/>
    </row>
    <row r="126" spans="1:6" x14ac:dyDescent="0.3">
      <c r="A126" s="8"/>
      <c r="B126" s="8"/>
      <c r="C126" s="8"/>
      <c r="D126" s="8"/>
      <c r="E126" s="8"/>
      <c r="F126" s="8"/>
    </row>
    <row r="127" spans="1:6" x14ac:dyDescent="0.3">
      <c r="A127" s="8"/>
      <c r="B127" s="8"/>
      <c r="C127" s="8"/>
      <c r="D127" s="8"/>
      <c r="E127" s="8"/>
      <c r="F127" s="8"/>
    </row>
    <row r="128" spans="1:6" x14ac:dyDescent="0.3">
      <c r="A128" s="8"/>
      <c r="B128" s="8"/>
      <c r="C128" s="8"/>
      <c r="D128" s="8"/>
      <c r="E128" s="8"/>
      <c r="F128" s="8"/>
    </row>
    <row r="129" spans="1:6" x14ac:dyDescent="0.3">
      <c r="A129" s="8"/>
      <c r="B129" s="8"/>
      <c r="C129" s="8"/>
      <c r="D129" s="8"/>
      <c r="E129" s="8"/>
      <c r="F129" s="8"/>
    </row>
    <row r="130" spans="1:6" x14ac:dyDescent="0.3">
      <c r="A130" s="8"/>
      <c r="B130" s="8"/>
      <c r="C130" s="8"/>
      <c r="D130" s="8"/>
      <c r="E130" s="8"/>
      <c r="F130" s="8"/>
    </row>
    <row r="131" spans="1:6" x14ac:dyDescent="0.3">
      <c r="A131" s="8"/>
      <c r="B131" s="8"/>
      <c r="C131" s="8"/>
      <c r="D131" s="8"/>
      <c r="E131" s="8"/>
      <c r="F131" s="8"/>
    </row>
    <row r="132" spans="1:6" x14ac:dyDescent="0.3">
      <c r="A132" s="8"/>
      <c r="B132" s="8"/>
      <c r="C132" s="8"/>
      <c r="D132" s="8"/>
      <c r="E132" s="8"/>
      <c r="F132" s="8"/>
    </row>
    <row r="133" spans="1:6" x14ac:dyDescent="0.3">
      <c r="A133" s="8"/>
      <c r="B133" s="8"/>
      <c r="C133" s="8"/>
      <c r="D133" s="8"/>
      <c r="E133" s="8"/>
      <c r="F133" s="8"/>
    </row>
    <row r="134" spans="1:6" x14ac:dyDescent="0.3">
      <c r="A134" s="8"/>
      <c r="B134" s="8"/>
      <c r="C134" s="8"/>
      <c r="D134" s="8"/>
      <c r="E134" s="8"/>
      <c r="F134" s="8"/>
    </row>
    <row r="135" spans="1:6" x14ac:dyDescent="0.3">
      <c r="A135" s="8"/>
      <c r="B135" s="8"/>
      <c r="C135" s="8"/>
      <c r="D135" s="8"/>
      <c r="E135" s="8"/>
      <c r="F135" s="8"/>
    </row>
    <row r="136" spans="1:6" x14ac:dyDescent="0.3">
      <c r="A136" s="8"/>
      <c r="B136" s="8"/>
      <c r="C136" s="8"/>
      <c r="D136" s="8"/>
      <c r="E136" s="8"/>
      <c r="F136" s="8"/>
    </row>
    <row r="137" spans="1:6" x14ac:dyDescent="0.3">
      <c r="A137" s="8"/>
      <c r="B137" s="8"/>
      <c r="C137" s="8"/>
      <c r="D137" s="8"/>
      <c r="E137" s="8"/>
      <c r="F137" s="8"/>
    </row>
    <row r="138" spans="1:6" x14ac:dyDescent="0.3">
      <c r="A138" s="8"/>
      <c r="B138" s="8"/>
      <c r="C138" s="8"/>
      <c r="D138" s="8"/>
      <c r="E138" s="8"/>
      <c r="F138" s="8"/>
    </row>
    <row r="139" spans="1:6" x14ac:dyDescent="0.3">
      <c r="A139" s="8"/>
      <c r="B139" s="8"/>
      <c r="C139" s="8"/>
      <c r="D139" s="8"/>
      <c r="E139" s="8"/>
      <c r="F139" s="8"/>
    </row>
    <row r="140" spans="1:6" x14ac:dyDescent="0.3">
      <c r="A140" s="8"/>
      <c r="B140" s="8"/>
      <c r="C140" s="8"/>
      <c r="D140" s="8"/>
      <c r="E140" s="8"/>
      <c r="F140" s="8"/>
    </row>
    <row r="141" spans="1:6" x14ac:dyDescent="0.3">
      <c r="A141" s="8"/>
      <c r="B141" s="8"/>
      <c r="C141" s="8"/>
      <c r="D141" s="8"/>
      <c r="E141" s="8"/>
      <c r="F141" s="8"/>
    </row>
    <row r="142" spans="1:6" x14ac:dyDescent="0.3">
      <c r="A142" s="8"/>
      <c r="B142" s="8"/>
      <c r="C142" s="8"/>
      <c r="D142" s="8"/>
      <c r="E142" s="8"/>
      <c r="F142" s="8"/>
    </row>
    <row r="143" spans="1:6" x14ac:dyDescent="0.3">
      <c r="A143" s="8"/>
      <c r="B143" s="8"/>
      <c r="C143" s="8"/>
      <c r="D143" s="8"/>
      <c r="E143" s="8"/>
      <c r="F143" s="8"/>
    </row>
    <row r="144" spans="1:6" x14ac:dyDescent="0.3">
      <c r="A144" s="8"/>
      <c r="B144" s="8"/>
      <c r="C144" s="8"/>
      <c r="D144" s="8"/>
      <c r="E144" s="8"/>
      <c r="F144" s="8"/>
    </row>
    <row r="145" spans="1:6" x14ac:dyDescent="0.3">
      <c r="A145" s="8"/>
      <c r="B145" s="8"/>
      <c r="C145" s="8"/>
      <c r="D145" s="8"/>
      <c r="E145" s="8"/>
      <c r="F145" s="8"/>
    </row>
    <row r="146" spans="1:6" x14ac:dyDescent="0.3">
      <c r="A146" s="8"/>
      <c r="B146" s="8"/>
      <c r="C146" s="8"/>
      <c r="D146" s="8"/>
      <c r="E146" s="8"/>
      <c r="F146" s="8"/>
    </row>
    <row r="147" spans="1:6" x14ac:dyDescent="0.3">
      <c r="A147" s="8"/>
      <c r="B147" s="8"/>
      <c r="C147" s="8"/>
      <c r="D147" s="8"/>
      <c r="E147" s="8"/>
      <c r="F147" s="8"/>
    </row>
    <row r="148" spans="1:6" x14ac:dyDescent="0.3">
      <c r="A148" s="8"/>
      <c r="B148" s="8"/>
      <c r="C148" s="8"/>
      <c r="D148" s="8"/>
      <c r="E148" s="8"/>
      <c r="F148" s="8"/>
    </row>
    <row r="149" spans="1:6" x14ac:dyDescent="0.3">
      <c r="A149" s="8"/>
      <c r="B149" s="8"/>
      <c r="C149" s="8"/>
      <c r="D149" s="8"/>
      <c r="E149" s="8"/>
      <c r="F149" s="8"/>
    </row>
    <row r="150" spans="1:6" x14ac:dyDescent="0.3">
      <c r="A150" s="8"/>
      <c r="B150" s="8"/>
      <c r="C150" s="8"/>
      <c r="D150" s="8"/>
      <c r="E150" s="8"/>
      <c r="F150" s="8"/>
    </row>
    <row r="151" spans="1:6" x14ac:dyDescent="0.3">
      <c r="A151" s="8"/>
      <c r="B151" s="8"/>
      <c r="C151" s="8"/>
      <c r="D151" s="8"/>
      <c r="E151" s="8"/>
      <c r="F151" s="8"/>
    </row>
    <row r="152" spans="1:6" x14ac:dyDescent="0.3">
      <c r="A152" s="8"/>
      <c r="B152" s="8"/>
      <c r="C152" s="8"/>
      <c r="D152" s="8"/>
      <c r="E152" s="8"/>
      <c r="F152" s="8"/>
    </row>
    <row r="153" spans="1:6" x14ac:dyDescent="0.3">
      <c r="A153" s="8"/>
      <c r="B153" s="8"/>
      <c r="C153" s="8"/>
      <c r="D153" s="8"/>
      <c r="E153" s="8"/>
      <c r="F153" s="8"/>
    </row>
    <row r="154" spans="1:6" x14ac:dyDescent="0.3">
      <c r="A154" s="8"/>
      <c r="B154" s="8"/>
      <c r="C154" s="8"/>
      <c r="D154" s="8"/>
      <c r="E154" s="8"/>
      <c r="F154" s="8"/>
    </row>
    <row r="155" spans="1:6" x14ac:dyDescent="0.3">
      <c r="A155" s="8"/>
      <c r="B155" s="8"/>
      <c r="C155" s="8"/>
      <c r="D155" s="8"/>
      <c r="E155" s="8"/>
      <c r="F155" s="8"/>
    </row>
    <row r="156" spans="1:6" x14ac:dyDescent="0.3">
      <c r="A156" s="8"/>
      <c r="B156" s="8"/>
      <c r="C156" s="8"/>
      <c r="D156" s="8"/>
      <c r="E156" s="8"/>
      <c r="F156" s="8"/>
    </row>
    <row r="157" spans="1:6" x14ac:dyDescent="0.3">
      <c r="A157" s="8"/>
      <c r="B157" s="8"/>
      <c r="C157" s="8"/>
      <c r="D157" s="8"/>
      <c r="E157" s="8"/>
      <c r="F157" s="8"/>
    </row>
    <row r="158" spans="1:6" x14ac:dyDescent="0.3">
      <c r="A158" s="8"/>
      <c r="B158" s="8"/>
      <c r="C158" s="8"/>
      <c r="D158" s="8"/>
      <c r="E158" s="8"/>
      <c r="F158" s="8"/>
    </row>
    <row r="159" spans="1:6" x14ac:dyDescent="0.3">
      <c r="A159" s="8"/>
      <c r="B159" s="8"/>
      <c r="C159" s="8"/>
      <c r="D159" s="8"/>
      <c r="E159" s="8"/>
      <c r="F159" s="8"/>
    </row>
    <row r="160" spans="1:6" x14ac:dyDescent="0.3">
      <c r="A160" s="8"/>
      <c r="B160" s="8"/>
      <c r="C160" s="8"/>
      <c r="D160" s="8"/>
      <c r="E160" s="8"/>
      <c r="F160" s="8"/>
    </row>
    <row r="161" spans="1:6" x14ac:dyDescent="0.3">
      <c r="A161" s="8"/>
      <c r="B161" s="8"/>
      <c r="C161" s="8"/>
      <c r="D161" s="8"/>
      <c r="E161" s="8"/>
      <c r="F161" s="8"/>
    </row>
    <row r="162" spans="1:6" x14ac:dyDescent="0.3">
      <c r="A162" s="8"/>
      <c r="B162" s="8"/>
      <c r="C162" s="8"/>
      <c r="D162" s="8"/>
      <c r="E162" s="8"/>
      <c r="F162" s="8"/>
    </row>
    <row r="163" spans="1:6" x14ac:dyDescent="0.3">
      <c r="A163" s="8"/>
      <c r="B163" s="8"/>
      <c r="C163" s="8"/>
      <c r="D163" s="8"/>
      <c r="E163" s="8"/>
      <c r="F163" s="8"/>
    </row>
    <row r="164" spans="1:6" x14ac:dyDescent="0.3">
      <c r="A164" s="8"/>
      <c r="B164" s="8"/>
      <c r="C164" s="8"/>
      <c r="D164" s="8"/>
      <c r="E164" s="8"/>
      <c r="F164" s="8"/>
    </row>
    <row r="165" spans="1:6" x14ac:dyDescent="0.3">
      <c r="A165" s="8"/>
      <c r="B165" s="8"/>
      <c r="C165" s="8"/>
      <c r="D165" s="8"/>
      <c r="E165" s="8"/>
      <c r="F165" s="8"/>
    </row>
    <row r="166" spans="1:6" x14ac:dyDescent="0.3">
      <c r="A166" s="8"/>
      <c r="B166" s="8"/>
      <c r="C166" s="8"/>
      <c r="D166" s="8"/>
      <c r="E166" s="8"/>
      <c r="F166" s="8"/>
    </row>
    <row r="167" spans="1:6" x14ac:dyDescent="0.3">
      <c r="A167" s="8"/>
      <c r="B167" s="8"/>
      <c r="C167" s="8"/>
      <c r="D167" s="8"/>
      <c r="E167" s="8"/>
      <c r="F167" s="8"/>
    </row>
    <row r="168" spans="1:6" x14ac:dyDescent="0.3">
      <c r="A168" s="8"/>
      <c r="B168" s="8"/>
      <c r="C168" s="8"/>
      <c r="D168" s="8"/>
      <c r="E168" s="8"/>
      <c r="F168" s="8"/>
    </row>
    <row r="169" spans="1:6" x14ac:dyDescent="0.3">
      <c r="A169" s="8"/>
      <c r="B169" s="8"/>
      <c r="C169" s="8"/>
      <c r="D169" s="8"/>
      <c r="E169" s="8"/>
      <c r="F169" s="8"/>
    </row>
    <row r="170" spans="1:6" x14ac:dyDescent="0.3">
      <c r="A170" s="8"/>
      <c r="B170" s="8"/>
      <c r="C170" s="8"/>
      <c r="D170" s="8"/>
      <c r="E170" s="8"/>
      <c r="F170" s="8"/>
    </row>
    <row r="171" spans="1:6" x14ac:dyDescent="0.3">
      <c r="A171" s="8"/>
      <c r="B171" s="8"/>
      <c r="C171" s="8"/>
      <c r="D171" s="8"/>
      <c r="E171" s="8"/>
      <c r="F171" s="8"/>
    </row>
    <row r="172" spans="1:6" x14ac:dyDescent="0.3">
      <c r="A172" s="8"/>
      <c r="B172" s="8"/>
      <c r="C172" s="8"/>
      <c r="D172" s="8"/>
      <c r="E172" s="8"/>
      <c r="F172" s="8"/>
    </row>
    <row r="173" spans="1:6" x14ac:dyDescent="0.3">
      <c r="A173" s="8"/>
      <c r="B173" s="8"/>
      <c r="C173" s="8"/>
      <c r="D173" s="8"/>
      <c r="E173" s="8"/>
      <c r="F173" s="8"/>
    </row>
    <row r="174" spans="1:6" x14ac:dyDescent="0.3">
      <c r="A174" s="8"/>
      <c r="B174" s="8"/>
      <c r="C174" s="8"/>
      <c r="D174" s="8"/>
      <c r="E174" s="8"/>
      <c r="F174" s="8"/>
    </row>
    <row r="175" spans="1:6" x14ac:dyDescent="0.3">
      <c r="A175" s="8"/>
      <c r="B175" s="8"/>
      <c r="C175" s="8"/>
      <c r="D175" s="8"/>
      <c r="E175" s="8"/>
      <c r="F175" s="8"/>
    </row>
    <row r="176" spans="1:6" x14ac:dyDescent="0.3">
      <c r="A176" s="8"/>
      <c r="B176" s="8"/>
      <c r="C176" s="8"/>
      <c r="D176" s="8"/>
      <c r="E176" s="8"/>
      <c r="F176" s="8"/>
    </row>
    <row r="177" spans="1:6" x14ac:dyDescent="0.3">
      <c r="A177" s="8"/>
      <c r="B177" s="8"/>
      <c r="C177" s="8"/>
      <c r="D177" s="8"/>
      <c r="E177" s="8"/>
      <c r="F177" s="8"/>
    </row>
    <row r="178" spans="1:6" x14ac:dyDescent="0.3">
      <c r="A178" s="8"/>
      <c r="B178" s="8"/>
      <c r="C178" s="8"/>
      <c r="D178" s="8"/>
      <c r="E178" s="8"/>
      <c r="F178" s="8"/>
    </row>
    <row r="179" spans="1:6" x14ac:dyDescent="0.3">
      <c r="A179" s="8"/>
      <c r="B179" s="8"/>
      <c r="C179" s="8"/>
      <c r="D179" s="8"/>
      <c r="E179" s="8"/>
      <c r="F179" s="8"/>
    </row>
    <row r="180" spans="1:6" x14ac:dyDescent="0.3">
      <c r="A180" s="8"/>
      <c r="B180" s="8"/>
      <c r="C180" s="8"/>
      <c r="D180" s="8"/>
      <c r="E180" s="8"/>
      <c r="F180" s="8"/>
    </row>
    <row r="181" spans="1:6" x14ac:dyDescent="0.3">
      <c r="A181" s="8"/>
      <c r="B181" s="8"/>
      <c r="C181" s="8"/>
      <c r="D181" s="8"/>
      <c r="E181" s="8"/>
      <c r="F181" s="8"/>
    </row>
    <row r="182" spans="1:6" x14ac:dyDescent="0.3">
      <c r="A182" s="8"/>
      <c r="B182" s="8"/>
      <c r="C182" s="8"/>
      <c r="D182" s="8"/>
      <c r="E182" s="8"/>
      <c r="F182" s="8"/>
    </row>
    <row r="183" spans="1:6" x14ac:dyDescent="0.3">
      <c r="A183" s="8"/>
      <c r="B183" s="8"/>
      <c r="C183" s="8"/>
      <c r="D183" s="8"/>
      <c r="E183" s="8"/>
      <c r="F183" s="8"/>
    </row>
    <row r="184" spans="1:6" x14ac:dyDescent="0.3">
      <c r="A184" s="8"/>
      <c r="B184" s="8"/>
      <c r="C184" s="8"/>
      <c r="D184" s="8"/>
      <c r="E184" s="8"/>
      <c r="F184" s="8"/>
    </row>
    <row r="185" spans="1:6" x14ac:dyDescent="0.3">
      <c r="A185" s="8"/>
      <c r="B185" s="8"/>
      <c r="C185" s="8"/>
      <c r="D185" s="8"/>
      <c r="E185" s="8"/>
      <c r="F185" s="8"/>
    </row>
    <row r="186" spans="1:6" x14ac:dyDescent="0.3">
      <c r="A186" s="8"/>
      <c r="B186" s="8"/>
      <c r="C186" s="8"/>
      <c r="D186" s="8"/>
      <c r="E186" s="8"/>
      <c r="F186" s="8"/>
    </row>
    <row r="187" spans="1:6" x14ac:dyDescent="0.3">
      <c r="A187" s="8"/>
      <c r="B187" s="8"/>
      <c r="C187" s="8"/>
      <c r="D187" s="8"/>
      <c r="E187" s="8"/>
      <c r="F187" s="8"/>
    </row>
    <row r="188" spans="1:6" x14ac:dyDescent="0.3">
      <c r="A188" s="8"/>
      <c r="B188" s="8"/>
      <c r="C188" s="8"/>
      <c r="D188" s="8"/>
      <c r="E188" s="8"/>
      <c r="F188" s="8"/>
    </row>
    <row r="189" spans="1:6" x14ac:dyDescent="0.3">
      <c r="A189" s="8"/>
      <c r="B189" s="8"/>
      <c r="C189" s="8"/>
      <c r="D189" s="8"/>
      <c r="E189" s="8"/>
      <c r="F189" s="8"/>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ontactsSheet"/>
  <dimension ref="A1:BF1"/>
  <sheetViews>
    <sheetView topLeftCell="BC1" zoomScaleNormal="100" workbookViewId="0">
      <selection activeCell="BH7" sqref="BH7"/>
    </sheetView>
  </sheetViews>
  <sheetFormatPr defaultRowHeight="14.4" x14ac:dyDescent="0.3"/>
  <cols>
    <col min="1" max="1" width="15.6640625" customWidth="1"/>
    <col min="2" max="17" width="15.5546875" style="8" customWidth="1"/>
    <col min="18" max="19" width="35.5546875" style="8" customWidth="1"/>
    <col min="20" max="20" width="15.5546875" style="8" customWidth="1"/>
    <col min="21" max="22" width="35.5546875" style="8" customWidth="1"/>
    <col min="23" max="29" width="15.5546875" style="8" customWidth="1"/>
    <col min="30" max="30" width="35.5546875" style="8" customWidth="1"/>
    <col min="31" max="32" width="15.5546875" style="8" customWidth="1"/>
    <col min="33" max="58" width="35.5546875" style="8" customWidth="1"/>
  </cols>
  <sheetData>
    <row r="1" spans="1:58" s="5" customFormat="1" ht="15" thickBot="1" x14ac:dyDescent="0.35">
      <c r="A1" s="4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ampleReportSheet"/>
  <dimension ref="A1:G16"/>
  <sheetViews>
    <sheetView workbookViewId="0">
      <selection activeCell="F9" sqref="F9"/>
    </sheetView>
  </sheetViews>
  <sheetFormatPr defaultRowHeight="14.4" x14ac:dyDescent="0.3"/>
  <cols>
    <col min="1" max="1" width="18.109375" bestFit="1" customWidth="1"/>
    <col min="2" max="4" width="18.77734375" bestFit="1" customWidth="1"/>
    <col min="5" max="5" width="10.5546875" bestFit="1" customWidth="1"/>
    <col min="6" max="7" width="10" bestFit="1" customWidth="1"/>
    <col min="8" max="8" width="11.109375" bestFit="1" customWidth="1"/>
    <col min="9" max="9" width="11" customWidth="1"/>
    <col min="10" max="10" width="14.109375" customWidth="1"/>
    <col min="11" max="12" width="16.109375" customWidth="1"/>
    <col min="13" max="13" width="11.33203125" customWidth="1"/>
    <col min="14" max="14" width="11.109375" bestFit="1" customWidth="1"/>
  </cols>
  <sheetData>
    <row r="1" spans="1:7" x14ac:dyDescent="0.3">
      <c r="A1" s="39"/>
      <c r="B1" s="39"/>
      <c r="C1" s="41"/>
      <c r="D1" s="41"/>
      <c r="E1" s="41"/>
      <c r="F1" s="41"/>
      <c r="G1" s="38"/>
    </row>
    <row r="2" spans="1:7" x14ac:dyDescent="0.3">
      <c r="A2" s="39"/>
      <c r="B2" s="39"/>
      <c r="C2" s="41"/>
      <c r="D2" s="41"/>
      <c r="E2" s="41"/>
      <c r="F2" s="41"/>
      <c r="G2" s="38"/>
    </row>
    <row r="3" spans="1:7" x14ac:dyDescent="0.3">
      <c r="A3" s="50"/>
      <c r="B3" s="50"/>
      <c r="C3" s="51"/>
      <c r="D3" s="51"/>
      <c r="E3" s="51"/>
      <c r="F3" s="51"/>
      <c r="G3" s="52"/>
    </row>
    <row r="4" spans="1:7" ht="14.25" customHeight="1" x14ac:dyDescent="0.3">
      <c r="A4" s="50"/>
      <c r="B4" s="50"/>
      <c r="C4" s="51"/>
      <c r="D4" s="51"/>
      <c r="E4" s="51"/>
      <c r="F4" s="51"/>
      <c r="G4" s="52"/>
    </row>
    <row r="5" spans="1:7" ht="14.25" customHeight="1" x14ac:dyDescent="0.3">
      <c r="A5" s="50"/>
      <c r="B5" s="50"/>
      <c r="C5" s="51"/>
      <c r="D5" s="51"/>
      <c r="E5" s="51"/>
      <c r="F5" s="51"/>
      <c r="G5" s="52"/>
    </row>
    <row r="6" spans="1:7" ht="14.25" customHeight="1" x14ac:dyDescent="0.3">
      <c r="A6" s="50"/>
      <c r="B6" s="50"/>
      <c r="C6" s="51"/>
      <c r="D6" s="51"/>
      <c r="E6" s="51"/>
      <c r="F6" s="51"/>
      <c r="G6" s="52"/>
    </row>
    <row r="7" spans="1:7" ht="14.25" customHeight="1" x14ac:dyDescent="0.3">
      <c r="A7" s="50"/>
      <c r="B7" s="50"/>
      <c r="C7" s="51"/>
      <c r="D7" s="51"/>
      <c r="E7" s="51"/>
      <c r="F7" s="51"/>
      <c r="G7" s="52"/>
    </row>
    <row r="8" spans="1:7" ht="14.25" customHeight="1" x14ac:dyDescent="0.3">
      <c r="A8" s="50"/>
      <c r="B8" s="50"/>
      <c r="C8" s="51"/>
      <c r="D8" s="51"/>
      <c r="E8" s="51"/>
      <c r="F8" s="51"/>
      <c r="G8" s="52"/>
    </row>
    <row r="9" spans="1:7" ht="14.25" customHeight="1" x14ac:dyDescent="0.3">
      <c r="A9" s="50"/>
      <c r="B9" s="50"/>
      <c r="C9" s="51"/>
      <c r="D9" s="51"/>
      <c r="E9" s="51"/>
      <c r="F9" s="51"/>
      <c r="G9" s="52"/>
    </row>
    <row r="10" spans="1:7" ht="14.25" customHeight="1" x14ac:dyDescent="0.3">
      <c r="A10" s="50"/>
      <c r="B10" s="50"/>
      <c r="C10" s="51"/>
      <c r="D10" s="51"/>
      <c r="E10" s="51"/>
      <c r="F10" s="51"/>
      <c r="G10" s="52"/>
    </row>
    <row r="11" spans="1:7" ht="14.25" customHeight="1" x14ac:dyDescent="0.3">
      <c r="A11" s="50"/>
      <c r="B11" s="50"/>
      <c r="C11" s="51"/>
      <c r="D11" s="51"/>
      <c r="E11" s="51"/>
      <c r="F11" s="51"/>
      <c r="G11" s="52"/>
    </row>
    <row r="12" spans="1:7" ht="14.25" customHeight="1" x14ac:dyDescent="0.3">
      <c r="A12" s="50"/>
      <c r="B12" s="50"/>
      <c r="C12" s="51"/>
      <c r="D12" s="51"/>
      <c r="E12" s="51"/>
      <c r="F12" s="51"/>
      <c r="G12" s="52"/>
    </row>
    <row r="13" spans="1:7" ht="14.25" customHeight="1" x14ac:dyDescent="0.3">
      <c r="A13" s="50"/>
      <c r="B13" s="50"/>
      <c r="C13" s="51"/>
      <c r="D13" s="51"/>
      <c r="E13" s="51"/>
      <c r="F13" s="51"/>
      <c r="G13" s="52"/>
    </row>
    <row r="14" spans="1:7" ht="14.25" customHeight="1" x14ac:dyDescent="0.3">
      <c r="A14" s="53"/>
      <c r="B14" s="53"/>
      <c r="C14" s="54"/>
      <c r="D14" s="54"/>
      <c r="E14" s="54"/>
      <c r="F14" s="54"/>
      <c r="G14" s="55"/>
    </row>
    <row r="15" spans="1:7" ht="14.25" customHeight="1" x14ac:dyDescent="0.3"/>
    <row r="16" spans="1:7" ht="14.25" customHeight="1" x14ac:dyDescent="0.3"/>
  </sheetData>
  <pageMargins left="0.7" right="0.7" top="0.75" bottom="0.75" header="0.3" footer="0.3"/>
  <pageSetup paperSize="9" orientation="portrait" verticalDpi="0"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uditPropertiesSheet"/>
  <dimension ref="A1:AU1"/>
  <sheetViews>
    <sheetView zoomScaleNormal="100" workbookViewId="0">
      <selection activeCell="I110" sqref="I110"/>
    </sheetView>
  </sheetViews>
  <sheetFormatPr defaultRowHeight="14.4" x14ac:dyDescent="0.3"/>
  <cols>
    <col min="1" max="1" width="22" customWidth="1"/>
    <col min="2" max="2" width="18.5546875" customWidth="1"/>
    <col min="3" max="3" width="24.5546875" style="34" bestFit="1" customWidth="1"/>
    <col min="4" max="4" width="13.44140625" customWidth="1"/>
    <col min="5" max="5" width="16.6640625" customWidth="1"/>
    <col min="6" max="6" width="13.109375" customWidth="1"/>
    <col min="7" max="7" width="10.44140625" customWidth="1"/>
    <col min="8" max="8" width="26.6640625" bestFit="1" customWidth="1"/>
    <col min="9" max="9" width="12.88671875" customWidth="1"/>
    <col min="10" max="10" width="83.6640625" customWidth="1"/>
    <col min="11" max="11" width="11.5546875" bestFit="1" customWidth="1"/>
    <col min="12" max="12" width="22.33203125" customWidth="1"/>
    <col min="13" max="13" width="34.88671875" style="47" bestFit="1" customWidth="1"/>
    <col min="14" max="14" width="34.44140625" style="45" bestFit="1" customWidth="1"/>
    <col min="15" max="15" width="18.88671875" style="45" bestFit="1" customWidth="1"/>
    <col min="16" max="16" width="14.21875" style="46" bestFit="1" customWidth="1"/>
    <col min="17" max="17" width="5.109375" style="45" bestFit="1" customWidth="1"/>
    <col min="18" max="18" width="10.6640625" style="45" bestFit="1" customWidth="1"/>
    <col min="19" max="19" width="19.109375" style="45" bestFit="1" customWidth="1"/>
    <col min="20" max="20" width="10.88671875" style="46" bestFit="1" customWidth="1"/>
    <col min="21" max="21" width="10.44140625" style="45" bestFit="1" customWidth="1"/>
    <col min="22" max="22" width="26" style="45" bestFit="1" customWidth="1"/>
    <col min="23" max="23" width="13.5546875" style="46" bestFit="1" customWidth="1"/>
    <col min="24" max="24" width="10.21875" style="46" bestFit="1" customWidth="1"/>
    <col min="25" max="25" width="12.109375" style="46" bestFit="1" customWidth="1"/>
    <col min="26" max="26" width="10.77734375" style="46" bestFit="1" customWidth="1"/>
    <col min="27" max="27" width="14.44140625" style="46" bestFit="1" customWidth="1"/>
    <col min="28" max="28" width="14.5546875" style="46" bestFit="1" customWidth="1"/>
    <col min="29" max="29" width="15.44140625" style="46" bestFit="1" customWidth="1"/>
    <col min="30" max="30" width="11.77734375" style="46" bestFit="1" customWidth="1"/>
    <col min="31" max="31" width="14.6640625" style="46" bestFit="1" customWidth="1"/>
    <col min="32" max="32" width="12.44140625" style="46" bestFit="1" customWidth="1"/>
    <col min="33" max="33" width="19.21875" style="46" bestFit="1" customWidth="1"/>
    <col min="34" max="34" width="14.88671875" style="46" bestFit="1" customWidth="1"/>
    <col min="35" max="35" width="14.109375" style="46" bestFit="1" customWidth="1"/>
    <col min="36" max="36" width="9.44140625" style="46" bestFit="1" customWidth="1"/>
    <col min="37" max="37" width="12.21875" style="46" bestFit="1" customWidth="1"/>
    <col min="38" max="38" width="13.5546875" style="46" bestFit="1" customWidth="1"/>
    <col min="39" max="39" width="11.88671875" style="46" bestFit="1" customWidth="1"/>
    <col min="40" max="40" width="7.88671875" style="46" bestFit="1" customWidth="1"/>
    <col min="41" max="41" width="7.21875" style="46" bestFit="1" customWidth="1"/>
    <col min="42" max="42" width="6.77734375" style="46" bestFit="1" customWidth="1"/>
    <col min="43" max="43" width="12" style="46" bestFit="1" customWidth="1"/>
    <col min="44" max="44" width="9.44140625" style="46" bestFit="1" customWidth="1"/>
    <col min="45" max="45" width="10.88671875" style="46" bestFit="1" customWidth="1"/>
    <col min="46" max="46" width="16.88671875" style="46" bestFit="1" customWidth="1"/>
    <col min="47" max="47" width="15.109375" style="46" bestFit="1" customWidth="1"/>
    <col min="48" max="48" width="9.77734375" bestFit="1" customWidth="1"/>
  </cols>
  <sheetData>
    <row r="1" spans="1:13" ht="15" customHeight="1" thickBot="1" x14ac:dyDescent="0.35">
      <c r="A1" s="9" t="s">
        <v>70</v>
      </c>
      <c r="B1" s="9" t="s">
        <v>71</v>
      </c>
      <c r="C1" s="9" t="s">
        <v>72</v>
      </c>
      <c r="D1" s="9" t="s">
        <v>73</v>
      </c>
      <c r="E1" s="9" t="s">
        <v>74</v>
      </c>
      <c r="F1" s="9" t="s">
        <v>75</v>
      </c>
      <c r="G1" s="9" t="s">
        <v>76</v>
      </c>
      <c r="H1" s="9" t="s">
        <v>77</v>
      </c>
      <c r="I1" s="9" t="s">
        <v>69</v>
      </c>
      <c r="J1" s="9" t="s">
        <v>78</v>
      </c>
      <c r="K1" s="9" t="s">
        <v>79</v>
      </c>
      <c r="L1" s="9" t="s">
        <v>80</v>
      </c>
      <c r="M1" s="47" t="s">
        <v>83</v>
      </c>
    </row>
  </sheetData>
  <autoFilter ref="A1:AU1" xr:uid="{00000000-0009-0000-0000-000005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mpleAuditLogSheet"/>
  <dimension ref="A1:G14"/>
  <sheetViews>
    <sheetView zoomScaleNormal="100" workbookViewId="0">
      <selection activeCell="E2" sqref="E2:E6"/>
    </sheetView>
  </sheetViews>
  <sheetFormatPr defaultRowHeight="14.4" x14ac:dyDescent="0.3"/>
  <cols>
    <col min="1" max="1" width="17.88671875" bestFit="1" customWidth="1"/>
    <col min="2" max="2" width="14.77734375" bestFit="1" customWidth="1"/>
    <col min="3" max="3" width="11.44140625" bestFit="1" customWidth="1"/>
    <col min="4" max="4" width="15.44140625" bestFit="1" customWidth="1"/>
    <col min="5" max="5" width="10.5546875" bestFit="1" customWidth="1"/>
    <col min="6" max="8" width="10" bestFit="1" customWidth="1"/>
  </cols>
  <sheetData>
    <row r="1" spans="1:7" x14ac:dyDescent="0.3">
      <c r="A1" s="39"/>
      <c r="B1" s="39"/>
      <c r="C1" s="41"/>
      <c r="D1" s="41"/>
      <c r="E1" s="41"/>
      <c r="F1" s="41"/>
      <c r="G1" s="38"/>
    </row>
    <row r="2" spans="1:7" x14ac:dyDescent="0.3">
      <c r="A2" s="39"/>
      <c r="B2" s="39"/>
      <c r="C2" s="41"/>
      <c r="D2" s="41"/>
      <c r="E2" s="41"/>
      <c r="F2" s="41"/>
      <c r="G2" s="38"/>
    </row>
    <row r="3" spans="1:7" x14ac:dyDescent="0.3">
      <c r="A3" s="50"/>
      <c r="B3" s="50"/>
      <c r="C3" s="51"/>
      <c r="D3" s="51"/>
      <c r="E3" s="51"/>
      <c r="F3" s="51"/>
      <c r="G3" s="52"/>
    </row>
    <row r="4" spans="1:7" x14ac:dyDescent="0.3">
      <c r="A4" s="50"/>
      <c r="B4" s="50"/>
      <c r="C4" s="51"/>
      <c r="D4" s="51"/>
      <c r="E4" s="51"/>
      <c r="F4" s="51"/>
      <c r="G4" s="52"/>
    </row>
    <row r="5" spans="1:7" x14ac:dyDescent="0.3">
      <c r="A5" s="50"/>
      <c r="B5" s="50"/>
      <c r="C5" s="51"/>
      <c r="D5" s="51"/>
      <c r="E5" s="51"/>
      <c r="F5" s="51"/>
      <c r="G5" s="52"/>
    </row>
    <row r="6" spans="1:7" x14ac:dyDescent="0.3">
      <c r="A6" s="50"/>
      <c r="B6" s="50"/>
      <c r="C6" s="51"/>
      <c r="D6" s="51"/>
      <c r="E6" s="51"/>
      <c r="F6" s="51"/>
      <c r="G6" s="52"/>
    </row>
    <row r="7" spans="1:7" x14ac:dyDescent="0.3">
      <c r="A7" s="50"/>
      <c r="B7" s="50"/>
      <c r="C7" s="51"/>
      <c r="D7" s="51"/>
      <c r="E7" s="51"/>
      <c r="F7" s="51"/>
      <c r="G7" s="52"/>
    </row>
    <row r="8" spans="1:7" x14ac:dyDescent="0.3">
      <c r="A8" s="50"/>
      <c r="B8" s="50"/>
      <c r="C8" s="51"/>
      <c r="D8" s="51"/>
      <c r="E8" s="51"/>
      <c r="F8" s="51"/>
      <c r="G8" s="52"/>
    </row>
    <row r="9" spans="1:7" x14ac:dyDescent="0.3">
      <c r="A9" s="50"/>
      <c r="B9" s="50"/>
      <c r="C9" s="51"/>
      <c r="D9" s="51"/>
      <c r="E9" s="51"/>
      <c r="F9" s="51"/>
      <c r="G9" s="52"/>
    </row>
    <row r="10" spans="1:7" x14ac:dyDescent="0.3">
      <c r="A10" s="50"/>
      <c r="B10" s="50"/>
      <c r="C10" s="51"/>
      <c r="D10" s="51"/>
      <c r="E10" s="51"/>
      <c r="F10" s="51"/>
      <c r="G10" s="52"/>
    </row>
    <row r="11" spans="1:7" x14ac:dyDescent="0.3">
      <c r="A11" s="50"/>
      <c r="B11" s="50"/>
      <c r="C11" s="51"/>
      <c r="D11" s="51"/>
      <c r="E11" s="51"/>
      <c r="F11" s="51"/>
      <c r="G11" s="52"/>
    </row>
    <row r="12" spans="1:7" x14ac:dyDescent="0.3">
      <c r="A12" s="50"/>
      <c r="B12" s="50"/>
      <c r="C12" s="51"/>
      <c r="D12" s="51"/>
      <c r="E12" s="51"/>
      <c r="F12" s="51"/>
      <c r="G12" s="52"/>
    </row>
    <row r="13" spans="1:7" x14ac:dyDescent="0.3">
      <c r="A13" s="50"/>
      <c r="B13" s="50"/>
      <c r="C13" s="51"/>
      <c r="D13" s="51"/>
      <c r="E13" s="51"/>
      <c r="F13" s="51"/>
      <c r="G13" s="52"/>
    </row>
    <row r="14" spans="1:7" x14ac:dyDescent="0.3">
      <c r="A14" s="53"/>
      <c r="B14" s="53"/>
      <c r="C14" s="54"/>
      <c r="D14" s="54"/>
      <c r="E14" s="54"/>
      <c r="F14" s="54"/>
      <c r="G14" s="55"/>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2B68C-32AF-4F1E-B85F-1F0FD01B1C5F}">
  <sheetPr codeName="Sheet1"/>
  <dimension ref="A1:C8"/>
  <sheetViews>
    <sheetView workbookViewId="0">
      <selection activeCell="I36" sqref="I36"/>
    </sheetView>
  </sheetViews>
  <sheetFormatPr defaultRowHeight="14.4" x14ac:dyDescent="0.3"/>
  <sheetData>
    <row r="1" spans="1:3" x14ac:dyDescent="0.3">
      <c r="A1" t="s">
        <v>56</v>
      </c>
      <c r="B1" t="s">
        <v>62</v>
      </c>
      <c r="C1" t="s">
        <v>63</v>
      </c>
    </row>
    <row r="2" spans="1:3" x14ac:dyDescent="0.3">
      <c r="A2" t="s">
        <v>57</v>
      </c>
      <c r="B2">
        <v>43090</v>
      </c>
      <c r="C2">
        <v>75</v>
      </c>
    </row>
    <row r="3" spans="1:3" x14ac:dyDescent="0.3">
      <c r="A3" t="s">
        <v>58</v>
      </c>
      <c r="B3">
        <v>13420</v>
      </c>
      <c r="C3">
        <v>10</v>
      </c>
    </row>
    <row r="4" spans="1:3" x14ac:dyDescent="0.3">
      <c r="A4" t="s">
        <v>59</v>
      </c>
      <c r="B4">
        <v>14492</v>
      </c>
      <c r="C4">
        <v>6</v>
      </c>
    </row>
    <row r="5" spans="1:3" x14ac:dyDescent="0.3">
      <c r="A5" t="s">
        <v>60</v>
      </c>
      <c r="B5">
        <v>10735</v>
      </c>
      <c r="C5">
        <v>0</v>
      </c>
    </row>
    <row r="6" spans="1:3" x14ac:dyDescent="0.3">
      <c r="A6" t="s">
        <v>61</v>
      </c>
      <c r="B6">
        <v>118020</v>
      </c>
      <c r="C6">
        <v>19</v>
      </c>
    </row>
    <row r="7" spans="1:3" x14ac:dyDescent="0.3">
      <c r="A7" t="s">
        <v>84</v>
      </c>
      <c r="B7">
        <v>11613</v>
      </c>
      <c r="C7">
        <v>13</v>
      </c>
    </row>
    <row r="8" spans="1:3" x14ac:dyDescent="0.3">
      <c r="A8" t="s">
        <v>85</v>
      </c>
      <c r="B8">
        <v>22949</v>
      </c>
      <c r="C8">
        <v>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Settings</vt:lpstr>
      <vt:lpstr>Fields</vt:lpstr>
      <vt:lpstr>Levels</vt:lpstr>
      <vt:lpstr>Contacts</vt:lpstr>
      <vt:lpstr>Sample Report</vt:lpstr>
      <vt:lpstr>AuditProperties</vt:lpstr>
      <vt:lpstr>Sample AuditLog Report</vt:lpstr>
      <vt:lpstr>Worksheet Sizes</vt:lpstr>
      <vt:lpstr>in_ApiKey</vt:lpstr>
      <vt:lpstr>in_ApiUrl</vt:lpstr>
      <vt:lpstr>in_AuditlogEndDateCriteria</vt:lpstr>
      <vt:lpstr>in_AuditlogStartDateCriteria</vt:lpstr>
      <vt:lpstr>in_IsArchivedCriteria</vt:lpstr>
      <vt:lpstr>in_LastUpdatedCriteria</vt:lpstr>
      <vt:lpstr>in_MembershipEnabledCriteria</vt:lpstr>
      <vt:lpstr>in_MembershipStatusCriteria</vt:lpstr>
      <vt:lpstr>in_OAuthUrl</vt:lpstr>
      <vt:lpstr>in_RenewalDateCriteria</vt:lpstr>
      <vt:lpstr>Settings!out_AccountName</vt:lpstr>
      <vt:lpstr>Settings!out_ApiVersion</vt:lpstr>
      <vt:lpstr>AuditProperties!out_AuditPropertiesHeaders</vt:lpstr>
      <vt:lpstr>Contacts!out_ContactHeaders</vt:lpstr>
      <vt:lpstr>Settings!out_DataLoadedDate</vt:lpstr>
      <vt:lpstr>Settings!out_DataLoadedFinishedDate</vt:lpstr>
      <vt:lpstr>Settings!out_DomainName</vt:lpstr>
      <vt:lpstr>Fields!out_FieldsList</vt:lpstr>
      <vt:lpstr>Settings!out_GeneralInfo</vt:lpstr>
      <vt:lpstr>Levels!out_LevelsList</vt:lpstr>
      <vt:lpstr>Settings!out_LoadingState</vt:lpstr>
      <vt:lpstr>Settings!out_LoadingStateInfo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Vassily Kholopov</dc:creator>
  <cp:lastModifiedBy>Alex Sirota</cp:lastModifiedBy>
  <dcterms:created xsi:type="dcterms:W3CDTF">2013-07-05T14:24:06Z</dcterms:created>
  <dcterms:modified xsi:type="dcterms:W3CDTF">2018-06-29T19:37:27Z</dcterms:modified>
</cp:coreProperties>
</file>