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mond\Desktop\NewPath Consulting\Work\"/>
    </mc:Choice>
  </mc:AlternateContent>
  <xr:revisionPtr revIDLastSave="0" documentId="8_{5EC9F4FA-ABB1-4AE2-8816-974E87D30324}" xr6:coauthVersionLast="33" xr6:coauthVersionMax="33" xr10:uidLastSave="{00000000-0000-0000-0000-000000000000}"/>
  <bookViews>
    <workbookView xWindow="32768" yWindow="32768" windowWidth="22500" windowHeight="10785" tabRatio="814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2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17" fullCalcOnLoad="1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D23" i="1" l="1"/>
  <c r="D25" i="1"/>
  <c r="A30" i="1"/>
</calcChain>
</file>

<file path=xl/sharedStrings.xml><?xml version="1.0" encoding="utf-8"?>
<sst xmlns="http://schemas.openxmlformats.org/spreadsheetml/2006/main" count="133" uniqueCount="100">
  <si>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</si>
  <si>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</si>
  <si>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</si>
  <si>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</si>
  <si>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</si>
  <si>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</si>
  <si>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</si>
  <si>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</si>
  <si>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</si>
  <si>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</si>
  <si>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</si>
  <si>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</si>
  <si>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</si>
  <si>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</si>
  <si>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</si>
  <si>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</si>
  <si>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</si>
  <si>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</si>
  <si>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</si>
  <si>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</si>
  <si>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</si>
  <si>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</si>
  <si>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</si>
  <si>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</si>
  <si>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</si>
  <si>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</si>
  <si>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</si>
  <si>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</si>
  <si>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</si>
  <si>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</si>
  <si>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</si>
  <si>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</si>
  <si>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Membership Level</t>
  </si>
  <si>
    <t>Grand Total</t>
  </si>
  <si>
    <t>(blank)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</si>
  <si>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</si>
  <si>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</si>
  <si>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</si>
  <si>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</si>
  <si>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</si>
  <si>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</si>
  <si>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</si>
  <si>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Number of contacts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</si>
  <si>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</si>
  <si>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</si>
  <si>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</si>
  <si>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</si>
  <si>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</si>
  <si>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</si>
  <si>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</si>
  <si>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</si>
  <si>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</si>
  <si>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</si>
  <si>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</si>
  <si>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</si>
  <si>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</si>
  <si>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</si>
  <si>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</si>
  <si>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</si>
  <si>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</si>
  <si>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</si>
  <si>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</si>
  <si>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</si>
  <si>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</si>
  <si>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</si>
  <si>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</si>
  <si>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</si>
  <si>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</si>
  <si>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</si>
  <si>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</si>
  <si>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</si>
  <si>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</si>
  <si>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</si>
  <si>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</si>
  <si>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</si>
  <si>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</si>
  <si>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</si>
  <si>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</si>
  <si>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</si>
  <si>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</si>
  <si>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</si>
  <si>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</si>
  <si>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</si>
  <si>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</si>
  <si>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</si>
  <si>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Count of AuditItem Id</t>
  </si>
  <si>
    <t>EventRegistration</t>
  </si>
  <si>
    <t>&lt;= time elapsed of last download</t>
  </si>
  <si>
    <t>&lt;= rows downloaded per minute</t>
  </si>
  <si>
    <t>(blank) Total</t>
  </si>
  <si>
    <t>ReceiptId</t>
  </si>
  <si>
    <t>Alex</t>
  </si>
  <si>
    <t>Sirota</t>
  </si>
  <si>
    <t>Alex Total</t>
  </si>
  <si>
    <t>AuditProperties</t>
  </si>
  <si>
    <t>Sample AuditLog Report</t>
  </si>
  <si>
    <t>SAMPLE - Premium membership</t>
  </si>
  <si>
    <t>SAMPLE - Regular membership</t>
  </si>
  <si>
    <t>NewPath Consulting</t>
  </si>
  <si>
    <t>http://wa.newpathconsulting.com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</si>
</sst>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90" formatCode="mm/dd/yy;@"/>
    <numFmt numFmtId="194" formatCode="[$-409]d\-mmm\-yy;@"/>
    <numFmt numFmtId="195" formatCode="h:mm;@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b/>
      <sz val="11"/>
      <color indexed="8"/>
      <name val="Calibri"/>
      <family val="2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rgb="FF999999"/>
      </top>
      <bottom style="thin">
        <color rgb="FF999999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4" applyNumberFormat="0" applyAlignment="0" applyProtection="0"/>
    <xf numFmtId="0" fontId="8" fillId="2" borderId="7" applyNumberFormat="0" applyAlignment="0" applyProtection="0"/>
  </cellStyleXfs>
  <cellXfs count="69">
    <xf numFmtId="0" fontId="0" fillId="0" borderId="0" xfId="0"/>
    <xf numFmtId="0" fontId="0" fillId="0" borderId="0" xfId="0" applyAlignment="1"/>
    <xf numFmtId="0" fontId="6" fillId="0" borderId="0" xfId="4" applyAlignment="1"/>
    <xf numFmtId="0" fontId="0" fillId="0" borderId="0" xfId="0" applyAlignment="1">
      <alignment horizontal="left"/>
    </xf>
    <xf numFmtId="0" fontId="3" fillId="0" borderId="0" xfId="1"/>
    <xf numFmtId="0" fontId="5" fillId="0" borderId="6" xfId="3"/>
    <xf numFmtId="0" fontId="5" fillId="0" borderId="0" xfId="3" applyFill="1" applyBorder="1"/>
    <xf numFmtId="0" fontId="4" fillId="0" borderId="5" xfId="2" applyFill="1" applyAlignment="1"/>
    <xf numFmtId="0" fontId="0" fillId="0" borderId="0" xfId="0" applyAlignment="1">
      <alignment wrapText="1"/>
    </xf>
    <xf numFmtId="0" fontId="5" fillId="0" borderId="6" xfId="3" applyAlignment="1">
      <alignment wrapText="1"/>
    </xf>
    <xf numFmtId="0" fontId="5" fillId="0" borderId="6" xfId="3" applyAlignment="1">
      <alignment vertical="top"/>
    </xf>
    <xf numFmtId="0" fontId="5" fillId="0" borderId="6" xfId="3" applyAlignment="1">
      <alignment vertical="top" wrapText="1"/>
    </xf>
    <xf numFmtId="0" fontId="3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9" fillId="0" borderId="1" xfId="0" applyFont="1" applyBorder="1" applyAlignment="1">
      <alignment wrapText="1"/>
    </xf>
    <xf numFmtId="0" fontId="4" fillId="0" borderId="5" xfId="2" applyAlignment="1">
      <alignment horizontal="left"/>
    </xf>
    <xf numFmtId="0" fontId="8" fillId="2" borderId="2" xfId="6" applyBorder="1"/>
    <xf numFmtId="0" fontId="8" fillId="2" borderId="3" xfId="6" applyBorder="1"/>
    <xf numFmtId="0" fontId="4" fillId="0" borderId="5" xfId="2"/>
    <xf numFmtId="0" fontId="9" fillId="0" borderId="0" xfId="0" applyFont="1" applyAlignment="1">
      <alignment horizontal="center"/>
    </xf>
    <xf numFmtId="0" fontId="8" fillId="2" borderId="7" xfId="6" applyAlignment="1">
      <alignment horizontal="right"/>
    </xf>
    <xf numFmtId="22" fontId="8" fillId="2" borderId="7" xfId="6" applyNumberFormat="1" applyAlignment="1"/>
    <xf numFmtId="0" fontId="7" fillId="3" borderId="4" xfId="5" applyProtection="1">
      <protection locked="0"/>
    </xf>
    <xf numFmtId="0" fontId="5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4"/>
    <xf numFmtId="0" fontId="8" fillId="2" borderId="1" xfId="6" applyBorder="1"/>
    <xf numFmtId="0" fontId="6" fillId="2" borderId="1" xfId="4" applyFill="1" applyBorder="1" applyAlignment="1">
      <alignment horizontal="right"/>
    </xf>
    <xf numFmtId="0" fontId="10" fillId="0" borderId="0" xfId="0" applyFont="1"/>
    <xf numFmtId="0" fontId="0" fillId="0" borderId="0" xfId="0" applyNumberFormat="1"/>
    <xf numFmtId="0" fontId="7" fillId="3" borderId="4" xfId="5"/>
    <xf numFmtId="22" fontId="0" fillId="0" borderId="0" xfId="0" applyNumberFormat="1"/>
    <xf numFmtId="0" fontId="5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90" fontId="0" fillId="0" borderId="0" xfId="0" applyNumberFormat="1"/>
    <xf numFmtId="0" fontId="0" fillId="0" borderId="8" xfId="0" pivotButton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8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194" fontId="7" fillId="3" borderId="4" xfId="5" applyNumberFormat="1"/>
    <xf numFmtId="0" fontId="0" fillId="0" borderId="13" xfId="0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NumberFormat="1" applyBorder="1"/>
    <xf numFmtId="0" fontId="3" fillId="0" borderId="0" xfId="1" applyFill="1" applyBorder="1"/>
    <xf numFmtId="195" fontId="11" fillId="0" borderId="0" xfId="0" applyNumberFormat="1" applyFont="1"/>
    <xf numFmtId="0" fontId="11" fillId="0" borderId="0" xfId="0" applyFont="1"/>
    <xf numFmtId="1" fontId="11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5" fillId="0" borderId="6" xfId="3" applyNumberFormat="1" applyAlignment="1">
      <alignment wrapText="1"/>
    </xf>
    <xf numFmtId="0" fontId="12" fillId="0" borderId="0" xfId="0" applyFont="1"/>
    <xf numFmtId="0" fontId="0" fillId="0" borderId="18" xfId="0" applyBorder="1"/>
    <xf numFmtId="0" fontId="0" fillId="0" borderId="19" xfId="0" applyBorder="1"/>
    <xf numFmtId="0" fontId="13" fillId="0" borderId="1" xfId="0" applyFont="1" applyBorder="1" applyAlignment="1">
      <alignment horizontal="center" wrapText="1"/>
    </xf>
    <xf numFmtId="0" fontId="3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v2.4.12 -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'Sample Report'!$B$1:$B$2</c:f>
              <c:strCache>
                <c:ptCount val="1"/>
                <c:pt idx="0">
                  <c:v>Active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Report'!$B$3:$B$6</c:f>
              <c:numCache>
                <c:formatCode>General</c:formatCode>
                <c:ptCount val="3"/>
                <c:pt idx="1">
                  <c:v>7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62-4D53-B589-28EF5654C9D6}"/>
            </c:ext>
          </c:extLst>
        </c:ser>
        <c:ser>
          <c:idx val="1"/>
          <c:order val="1"/>
          <c:tx>
            <c:strRef>
              <c:f>'Sample Report'!$C$1:$C$2</c:f>
              <c:strCache>
                <c:ptCount val="1"/>
                <c:pt idx="0">
                  <c:v>PendingNew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Report'!$C$3:$C$6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62-4D53-B589-28EF5654C9D6}"/>
            </c:ext>
          </c:extLst>
        </c:ser>
        <c:ser>
          <c:idx val="2"/>
          <c:order val="2"/>
          <c:tx>
            <c:strRef>
              <c:f>'Sample Report'!$D$1:$D$2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Report'!$D$3:$D$6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A962-4D53-B589-28EF5654C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v2.4.12 - DEV.xlsm]Sample AuditLog Report!PivotTable2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'Sample AuditLog Report'!$D$1:$D$2</c:f>
              <c:strCache>
                <c:ptCount val="1"/>
                <c:pt idx="0">
                  <c:v>EventRegistration</c:v>
                </c:pt>
              </c:strCache>
            </c:strRef>
          </c:tx>
          <c:invertIfNegative val="0"/>
          <c:cat>
            <c:multiLvlStrRef>
              <c:f>'Sample AuditLog Report'!$A$3:$C$6</c:f>
              <c:multiLvlStrCache>
                <c:ptCount val="1"/>
                <c:lvl>
                  <c:pt idx="0">
                    <c:v>Sirota</c:v>
                  </c:pt>
                </c:lvl>
                <c:lvl>
                  <c:pt idx="0">
                    <c:v>Alex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'Sample AuditLog Report'!$D$3:$D$6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4-4225-8442-860E301C2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918845C3-440C-42A4-9EEC-A3D84429C5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61913</xdr:colOff>
          <xdr:row>27</xdr:row>
          <xdr:rowOff>28575</xdr:rowOff>
        </xdr:from>
        <xdr:to>
          <xdr:col>1</xdr:col>
          <xdr:colOff>0</xdr:colOff>
          <xdr:row>28</xdr:row>
          <xdr:rowOff>61913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FA71962-A8B7-49CD-9897-BDD29E06B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2595563</xdr:colOff>
          <xdr:row>5</xdr:row>
          <xdr:rowOff>590550</xdr:rowOff>
        </xdr:from>
        <xdr:to>
          <xdr:col>6</xdr:col>
          <xdr:colOff>642938</xdr:colOff>
          <xdr:row>7</xdr:row>
          <xdr:rowOff>166688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BC25383-1E21-45F9-84C2-E4E88F065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2605088</xdr:colOff>
          <xdr:row>14</xdr:row>
          <xdr:rowOff>9525</xdr:rowOff>
        </xdr:from>
        <xdr:to>
          <xdr:col>7</xdr:col>
          <xdr:colOff>4763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4247FB24-B4FC-41F1-8C69-9C0236F90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4763</xdr:rowOff>
        </xdr:from>
        <xdr:to>
          <xdr:col>7</xdr:col>
          <xdr:colOff>9525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F2EEF4F6-0E23-4CEF-8BD6-D3E39FEBF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10FDD04B-9681-4F65-AA23-6FB32A012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FEE6D163-0685-4697-923C-1F2CF0759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mond" refreshedDate="43252.70227696759" createdVersion="1" refreshedVersion="4" recordCount="2" upgradeOnRefresh="1">
  <cacheSource type="worksheet">
    <worksheetSource ref="A1:M1" sheet="AuditProperties"/>
  </cacheSource>
  <cacheFields count="13">
    <cacheField name="AuditItem Id" numFmtId="0">
      <sharedItems containsSemiMixedTypes="0" containsString="0" containsNumber="1" containsInteger="1" minValue="34004867" maxValue="34004918"/>
    </cacheField>
    <cacheField name="AuditItem Id Url" numFmtId="0">
      <sharedItems/>
    </cacheField>
    <cacheField name="AuditItem Timestamp" numFmtId="0">
      <sharedItems/>
    </cacheField>
    <cacheField name="Contact Id" numFmtId="0">
      <sharedItems containsSemiMixedTypes="0" containsString="0" containsNumber="1" containsInteger="1" minValue="37415038" maxValue="37415038"/>
    </cacheField>
    <cacheField name="Contact Id Url" numFmtId="0">
      <sharedItems/>
    </cacheField>
    <cacheField name="FirstName" numFmtId="0">
      <sharedItems containsBlank="1" count="190">
        <s v="Alex"/>
        <s v="Dale" u="1"/>
        <s v="Mary" u="1"/>
        <s v="Carol" u="1"/>
        <s v="Maher" u="1"/>
        <s v="Winnie" u="1"/>
        <m u="1"/>
        <s v="Jenny" u="1"/>
        <s v="Andrew" u="1"/>
        <s v="Gregory" u="1"/>
        <s v="Slava" u="1"/>
        <s v="Amanda" u="1"/>
        <s v="Stan" u="1"/>
        <s v="Peggy" u="1"/>
        <s v="Ron" u="1"/>
        <s v="Brige" u="1"/>
        <s v="Karen" u="1"/>
        <s v="Fulvia" u="1"/>
        <s v="Janine" u="1"/>
        <s v="Cynthia M." u="1"/>
        <s v="Ray" u="1"/>
        <s v="Agnes" u="1"/>
        <s v="Megan" u="1"/>
        <s v="Nora" u="1"/>
        <s v="Algis" u="1"/>
        <s v="Al" u="1"/>
        <s v="Martha" u="1"/>
        <s v="Christine" u="1"/>
        <s v="Emily" u="1"/>
        <s v="Lisa" u="1"/>
        <s v="Bruno" u="1"/>
        <s v="Chris" u="1"/>
        <s v="Fiona" u="1"/>
        <s v="Monica" u="1"/>
        <s v="Nicola" u="1"/>
        <s v="Regina" u="1"/>
        <s v="Stephen" u="1"/>
        <s v="Constance" u="1"/>
        <s v="Wang (Patricia)" u="1"/>
        <s v="Brenda" u="1"/>
        <s v="Emer" u="1"/>
        <s v="Cheryl" u="1"/>
        <s v="Revner" u="1"/>
        <s v="Tricia" u="1"/>
        <s v="Betty" u="1"/>
        <s v="Celia" u="1"/>
        <s v="Karlo" u="1"/>
        <s v="Lianne" u="1"/>
        <s v="Morris" u="1"/>
        <s v="Jennifer" u="1"/>
        <s v="Alexandra" u="1"/>
        <s v="Eileen" u="1"/>
        <s v="Stacey" u="1"/>
        <s v="Siofradh" u="1"/>
        <s v="Christopher" u="1"/>
        <s v="Lora" u="1"/>
        <s v="Regio" u="1"/>
        <s v="Sonia" u="1"/>
        <s v="Xi" u="1"/>
        <s v="Afshin" u="1"/>
        <s v="Bonnie" u="1"/>
        <s v="Tamara" u="1"/>
        <s v="Alan" u="1"/>
        <s v="Gale" u="1"/>
        <s v="Ruth" u="1"/>
        <s v="Marina" u="1"/>
        <s v="Susanna" u="1"/>
        <s v="Sheirlyne mae" u="1"/>
        <s v="Susan" u="1"/>
        <s v="Stanislaw / Stan/" u="1"/>
        <s v="Diane" u="1"/>
        <s v="Laura" u="1"/>
        <s v="Cynthia" u="1"/>
        <s v="Andrew Y" u="1"/>
        <s v="Len" u="1"/>
        <s v="Hazel" u="1"/>
        <s v="Jackie" u="1"/>
        <s v="Nicole" u="1"/>
        <s v="William" u="1"/>
        <s v="Yunchuan" u="1"/>
        <s v="Frances Indrawati" u="1"/>
        <s v="Manho" u="1"/>
        <s v="Zrinka" u="1"/>
        <s v="Doug" u="1"/>
        <s v="Jeff" u="1"/>
        <s v="David" u="1"/>
        <s v="Angela" u="1"/>
        <s v="Veronique" u="1"/>
        <s v="Mark" u="1"/>
        <s v="Erlinda" u="1"/>
        <s v="Helmut" u="1"/>
        <s v="Donna" u="1"/>
        <s v="Heather" u="1"/>
        <s v="Sheridan" u="1"/>
        <s v="Jean" u="1"/>
        <s v="Noshin" u="1"/>
        <s v="Lori" u="1"/>
        <s v="Theresa" u="1"/>
        <s v="Robin" u="1"/>
        <s v="Marie-France" u="1"/>
        <s v="Ladan" u="1"/>
        <s v="Dennis" u="1"/>
        <s v="Wendy" u="1"/>
        <s v="Elisabeth" u="1"/>
        <s v="Suzanne Lee" u="1"/>
        <s v="Maria" u="1"/>
        <s v="Neil" u="1"/>
        <s v="Gabriella" u="1"/>
        <s v="Diego" u="1"/>
        <s v="Konstantin" u="1"/>
        <s v="Sandra" u="1"/>
        <s v="Jane" u="1"/>
        <s v="Ehsan" u="1"/>
        <s v="Ilana" u="1"/>
        <s v="Michael" u="1"/>
        <s v="Maxine" u="1"/>
        <s v="Sandi  (Margaret)" u="1"/>
        <s v="Ed" u="1"/>
        <s v="Teri" u="1"/>
        <s v="Bill" u="1"/>
        <s v="Paul" u="1"/>
        <s v="Sylvia" u="1"/>
        <s v="Linda" u="1"/>
        <s v="Lingyun" u="1"/>
        <s v="Jianping" u="1"/>
        <s v="Jonathan" u="1"/>
        <s v="Clara" u="1"/>
        <s v="Jessica" u="1"/>
        <s v="Renay" u="1"/>
        <s v="Michelle" u="1"/>
        <s v="Jean-Emile" u="1"/>
        <s v="Peter" u="1"/>
        <s v="Justin" u="1"/>
        <s v="teress" u="1"/>
        <s v="Helen" u="1"/>
        <s v="Catherine" u="1"/>
        <s v="Sony" u="1"/>
        <s v="Toni" u="1"/>
        <s v="James" u="1"/>
        <s v="Barbara" u="1"/>
        <s v="Bridget" u="1"/>
        <s v="Liz" u="1"/>
        <s v="Greg" u="1"/>
        <s v="Trev" u="1"/>
        <s v="Anatoly" u="1"/>
        <s v="Judy" u="1"/>
        <s v="Anna Izabela" u="1"/>
        <s v="Henry" u="1"/>
        <s v="Andreas" u="1"/>
        <s v="Bruce" u="1"/>
        <s v="Michaela" u="1"/>
        <s v="Pearl" u="1"/>
        <s v="Robert" u="1"/>
        <s v="Ava-Lee" u="1"/>
        <s v="Elizabeth" u="1"/>
        <s v="Min" u="1"/>
        <s v="Wei" u="1"/>
        <s v="Julian" u="1"/>
        <s v="Ryszard" u="1"/>
        <s v="Luz Maria" u="1"/>
        <s v="John" u="1"/>
        <s v="Edwin" u="1"/>
        <s v="Gabriela" u="1"/>
        <s v="Dan" u="1"/>
        <s v="Aaron" u="1"/>
        <s v="Nelly" u="1"/>
        <s v="Claire" u="1"/>
        <s v="Melissa" u="1"/>
        <s v="Nathalie" u="1"/>
        <s v="Lilan" u="1"/>
        <s v="Yvonne" u="1"/>
        <s v="Charlie" u="1"/>
        <s v="Ken" u="1"/>
        <s v="Howard" u="1"/>
        <s v="Daniela" u="1"/>
        <s v="Patricia" u="1"/>
        <s v="Emil" u="1"/>
        <s v="Frank" u="1"/>
        <s v="Hilda" u="1"/>
        <s v="Marie" u="1"/>
        <s v="Diana" u="1"/>
        <s v="Caroline" u="1"/>
        <s v="Teresa" u="1"/>
        <s v="Mike" u="1"/>
        <s v="Vida" u="1"/>
        <s v="Abi" u="1"/>
        <s v="Ian" u="1"/>
        <s v="Terry" u="1"/>
        <s v="Annabel" u="1"/>
        <s v="Galyna" u="1"/>
      </sharedItems>
    </cacheField>
    <cacheField name="LastName" numFmtId="0">
      <sharedItems containsBlank="1" count="565">
        <s v="Sirota"/>
        <s v="Tamara" u="1"/>
        <m u="1"/>
        <s v="Suresh" u="1"/>
        <s v="Bob" u="1"/>
        <s v="Jack" u="1"/>
        <s v="Agnes" u="1"/>
        <s v="Pamela" u="1"/>
        <s v="Gareth" u="1"/>
        <s v="Jamie" u="1"/>
        <s v="Lakhbir" u="1"/>
        <s v="Diego" u="1"/>
        <s v="Juan" u="1"/>
        <s v="Liwen" u="1"/>
        <s v="Teri" u="1"/>
        <s v="Sofie" u="1"/>
        <s v="Diana" u="1"/>
        <s v="Steven" u="1"/>
        <s v="Loretta" u="1"/>
        <s v="Yvonne" u="1"/>
        <s v="Bryan" u="1"/>
        <s v="Binghao" u="1"/>
        <s v="Amy" u="1"/>
        <s v="Sook" u="1"/>
        <s v="Sanya" u="1"/>
        <s v="Lidija" u="1"/>
        <s v="Don" u="1"/>
        <s v="Gabriela" u="1"/>
        <s v="Colin" u="1"/>
        <s v="Theresa" u="1"/>
        <s v="Gail E." u="1"/>
        <s v="Monika" u="1"/>
        <s v="Guy" u="1"/>
        <s v="Katherine" u="1"/>
        <s v="Matthew" u="1"/>
        <s v="Fiona" u="1"/>
        <s v="Samantha" u="1"/>
        <s v="Owen" u="1"/>
        <s v="Andreas" u="1"/>
        <s v="Neil" u="1"/>
        <s v="Connie" u="1"/>
        <s v="Daina" u="1"/>
        <s v="Tulay" u="1"/>
        <s v="Nickie" u="1"/>
        <s v="Jackie" u="1"/>
        <s v="Brige" u="1"/>
        <s v="Jian" u="1"/>
        <s v="Eyra" u="1"/>
        <s v="Timothy" u="1"/>
        <s v="Gerry" u="1"/>
        <s v="Afshin" u="1"/>
        <s v="Elvan" u="1"/>
        <s v="Diane" u="1"/>
        <s v="Fatima" u="1"/>
        <s v="Yiu-Yin" u="1"/>
        <s v="Jean" u="1"/>
        <s v="Adrienne" u="1"/>
        <s v="Ehsan" u="1"/>
        <s v="Aida" u="1"/>
        <s v="Colleen" u="1"/>
        <s v="Janine" u="1"/>
        <s v="Rubina" u="1"/>
        <s v="Sharon" u="1"/>
        <s v="Linna" u="1"/>
        <s v="Vlatko" u="1"/>
        <s v="Hanna" u="1"/>
        <s v="Laurentiu" u="1"/>
        <s v="Paul" u="1"/>
        <s v="James" u="1"/>
        <s v="Kerry" u="1"/>
        <s v="Denise" u="1"/>
        <s v="Murillo" u="1"/>
        <s v="Bridget" u="1"/>
        <s v="Galyna" u="1"/>
        <s v="Halina" u="1"/>
        <s v="Tricia" u="1"/>
        <s v="Kim" u="1"/>
        <s v="Emma" u="1"/>
        <s v="Leslie" u="1"/>
        <s v="Renay" u="1"/>
        <s v="Sue" u="1"/>
        <s v="Theodora" u="1"/>
        <s v="Peter" u="1"/>
        <s v="Stewart" u="1"/>
        <s v="Julieanne" u="1"/>
        <s v="Min" u="1"/>
        <s v="Ken" u="1"/>
        <s v="Ian" u="1"/>
        <s v="Barbara" u="1"/>
        <s v="Josephine" u="1"/>
        <s v="Korissa" u="1"/>
        <s v="Teresa" u="1"/>
        <s v="Winston" u="1"/>
        <s v="Bishu" u="1"/>
        <s v="Ron" u="1"/>
        <s v="Maritess" u="1"/>
        <s v="Sequeira" u="1"/>
        <s v="Gina" u="1"/>
        <s v="Cheryl" u="1"/>
        <s v="Zandra" u="1"/>
        <s v="Roy" u="1"/>
        <s v="Morris" u="1"/>
        <s v="Hyunjoo" u="1"/>
        <s v="Kay" u="1"/>
        <s v="Tom" u="1"/>
        <s v="Dianne" u="1"/>
        <s v="Ye" u="1"/>
        <s v="Regina" u="1"/>
        <s v="Negin" u="1"/>
        <s v="Feeiaz" u="1"/>
        <s v="Lora" u="1"/>
        <s v="Nancy" u="1"/>
        <s v="Victoria" u="1"/>
        <s v="Sheridan" u="1"/>
        <s v="Jannie" u="1"/>
        <s v="Deanne" u="1"/>
        <s v="Niamh" u="1"/>
        <s v="Nora" u="1"/>
        <s v="Arlette" u="1"/>
        <s v="Ellie" u="1"/>
        <s v="Mercedes" u="1"/>
        <s v="Harvey" u="1"/>
        <s v="Dianna" u="1"/>
        <s v="Jungik (Jay)" u="1"/>
        <s v="Stanislaw / Stan/" u="1"/>
        <s v="Yoko" u="1"/>
        <s v="Bharat" u="1"/>
        <s v="Caroline" u="1"/>
        <s v="Lingyun" u="1"/>
        <s v="Sravanth" u="1"/>
        <s v="Eddie" u="1"/>
        <s v="Ernst" u="1"/>
        <s v="Sam" u="1"/>
        <s v="Regio" u="1"/>
        <s v="Jeffrey" u="1"/>
        <s v="Roya" u="1"/>
        <s v="Margaret" u="1"/>
        <s v="Wei" u="1"/>
        <s v="Henrik" u="1"/>
        <s v="Lianne" u="1"/>
        <s v="Jeanne" u="1"/>
        <s v="Valerie" u="1"/>
        <s v="Jaques" u="1"/>
        <s v="Randy" u="1"/>
        <s v="Mara" u="1"/>
        <s v="Fereshteh" u="1"/>
        <s v="Julian" u="1"/>
        <s v="Sandi  (Margaret)" u="1"/>
        <s v="Alan" u="1"/>
        <s v="Masako" u="1"/>
        <s v="Nicole" u="1"/>
        <s v="Brenda" u="1"/>
        <s v="Edel" u="1"/>
        <s v="Eva" u="1"/>
        <s v="Liviu" u="1"/>
        <s v="Hope" u="1"/>
        <s v="Alexandra" u="1"/>
        <s v="Felix" u="1"/>
        <s v="Jess" u="1"/>
        <s v="Gregory" u="1"/>
        <s v="Laura" u="1"/>
        <s v="Ann" u="1"/>
        <s v="Nicola" u="1"/>
        <s v="Zora" u="1"/>
        <s v="Elena" u="1"/>
        <s v="Sara" u="1"/>
        <s v="Ozgur" u="1"/>
        <s v="Neesa" u="1"/>
        <s v="Nikola" u="1"/>
        <s v="Peggy" u="1"/>
        <s v="Jiaqi" u="1"/>
        <s v="Claire" u="1"/>
        <s v="Yunchuan" u="1"/>
        <s v="Gaetano" u="1"/>
        <s v="Yanling" u="1"/>
        <s v="Doug" u="1"/>
        <s v="Frantisek" u="1"/>
        <s v="Ilana" u="1"/>
        <s v="Lilian" u="1"/>
        <s v="Pablo" u="1"/>
        <s v="Gale" u="1"/>
        <s v="Ivy" u="1"/>
        <s v="Dhiraj" u="1"/>
        <s v="Kristin" u="1"/>
        <s v="Abi" u="1"/>
        <s v="William (Bill)" u="1"/>
        <s v="Magda" u="1"/>
        <s v="Mike" u="1"/>
        <s v="Krystyna" u="1"/>
        <s v="Anca" u="1"/>
        <s v="Aleksandra" u="1"/>
        <s v="Lawrie" u="1"/>
        <s v="Anna" u="1"/>
        <s v="Witold" u="1"/>
        <s v="Siofradh" u="1"/>
        <s v="Kate" u="1"/>
        <s v="Stan" u="1"/>
        <s v="Fulvia" u="1"/>
        <s v="Daniel" u="1"/>
        <s v="Furui" u="1"/>
        <s v="Jason" u="1"/>
        <s v="Romuald" u="1"/>
        <s v="Algis" u="1"/>
        <s v="Christopher" u="1"/>
        <s v="Edwin" u="1"/>
        <s v="mir aneel" u="1"/>
        <s v="Mitch" u="1"/>
        <s v="Erlinda" u="1"/>
        <s v="Katrina" u="1"/>
        <s v="Judy" u="1"/>
        <s v="Chloe" u="1"/>
        <s v="Michelle" u="1"/>
        <s v="Sheila" u="1"/>
        <s v="Tracy" u="1"/>
        <s v="Clara" u="1"/>
        <s v="Marianne" u="1"/>
        <s v="Marvin" u="1"/>
        <s v="Alexandre" u="1"/>
        <s v="Sarah" u="1"/>
        <s v="Ming" u="1"/>
        <s v="Frances" u="1"/>
        <s v="Celia" u="1"/>
        <s v="Molly" u="1"/>
        <s v="Vivian" u="1"/>
        <s v="Christian" u="1"/>
        <s v="Lucy" u="1"/>
        <s v="Susan" u="1"/>
        <s v="Shelagh" u="1"/>
        <s v="joli" u="1"/>
        <s v="Evelyn" u="1"/>
        <s v="Megan" u="1"/>
        <s v="Sheirlyne mae" u="1"/>
        <s v="Eric" u="1"/>
        <s v="Jerry J." u="1"/>
        <s v="Chris" u="1"/>
        <s v="Frank" u="1"/>
        <s v="Roman" u="1"/>
        <s v="Shona" u="1"/>
        <s v="Sukhee" u="1"/>
        <s v="Marjanne" u="1"/>
        <s v="Suzanne Lee" u="1"/>
        <s v="Rachel" u="1"/>
        <s v="Lori" u="1"/>
        <s v="Wade" u="1"/>
        <s v="Stella" u="1"/>
        <s v="Andrew Y" u="1"/>
        <s v="Pearl" u="1"/>
        <s v="Dorothy" u="1"/>
        <s v="Liliana" u="1"/>
        <s v="Trudy" u="1"/>
        <s v="Ruby" u="1"/>
        <s v="Nelly" u="1"/>
        <s v="Annabel" u="1"/>
        <s v="Tiffany" u="1"/>
        <s v="Danny" u="1"/>
        <s v="Graham" u="1"/>
        <s v="Cynthia M." u="1"/>
        <s v="Clare" u="1"/>
        <s v="Milica" u="1"/>
        <s v="Deborah" u="1"/>
        <s v="Martina" u="1"/>
        <s v="Svetlana" u="1"/>
        <s v="Cecelia" u="1"/>
        <s v="Bruno" u="1"/>
        <s v="Anne" u="1"/>
        <s v="Emil" u="1"/>
        <s v="Niky" u="1"/>
        <s v="Ante" u="1"/>
        <s v="Jessica" u="1"/>
        <s v="Jenny" u="1"/>
        <s v="Heather" u="1"/>
        <s v="Maggie" u="1"/>
        <s v="Kari" u="1"/>
        <s v="Rocco" u="1"/>
        <s v="Sonya" u="1"/>
        <s v="Sony" u="1"/>
        <s v="Toni" u="1"/>
        <s v="Mandeep" u="1"/>
        <s v="Lorie" u="1"/>
        <s v="Daniela" u="1"/>
        <s v="Maria" u="1"/>
        <s v="Anna Izabela" u="1"/>
        <s v="Peyman" u="1"/>
        <s v="Ratcliff" u="1"/>
        <s v="Sandi" u="1"/>
        <s v="Shamus" u="1"/>
        <s v="Adrian" u="1"/>
        <s v="Michael" u="1"/>
        <s v="Jacqueline" u="1"/>
        <s v="Amanda" u="1"/>
        <s v="Carla" u="1"/>
        <s v="Janella" u="1"/>
        <s v="marco" u="1"/>
        <s v="Maryann" u="1"/>
        <s v="Donna" u="1"/>
        <s v="Elyse" u="1"/>
        <s v="Janelle" u="1"/>
        <s v="Geoffrey" u="1"/>
        <s v="Amelia" u="1"/>
        <s v="Sarbjit" u="1"/>
        <s v="Noel" u="1"/>
        <s v="Brent" u="1"/>
        <s v="Hardeesh" u="1"/>
        <s v="Kelly-Ann" u="1"/>
        <s v="Gail" u="1"/>
        <s v="Myles" u="1"/>
        <s v="Bohdan" u="1"/>
        <s v="Zrinka" u="1"/>
        <s v="Karen" u="1"/>
        <s v="Greg" u="1"/>
        <s v="Carine" u="1"/>
        <s v="Zihui" u="1"/>
        <s v="Marie" u="1"/>
        <s v="Mark" u="1"/>
        <s v="Luz Maria" u="1"/>
        <s v="John" u="1"/>
        <s v="Barry" u="1"/>
        <s v="Serena" u="1"/>
        <s v="Bonnie" u="1"/>
        <s v="Natasha" u="1"/>
        <s v="Sherry" u="1"/>
        <s v="Revner" u="1"/>
        <s v="Alex" u="1"/>
        <s v="Le" u="1"/>
        <s v="Tatjana" u="1"/>
        <s v="Karl" u="1"/>
        <s v="Bev" u="1"/>
        <s v="Beverly" u="1"/>
        <s v="Lorna" u="1"/>
        <s v="Elisabeth" u="1"/>
        <s v="Henry" u="1"/>
        <s v="Angela" u="1"/>
        <s v="Veronica" u="1"/>
        <s v="Apolonija" u="1"/>
        <s v="Dan" u="1"/>
        <s v="Arija" u="1"/>
        <s v="Sandra" u="1"/>
        <s v="Betty" u="1"/>
        <s v="Karine" u="1"/>
        <s v="Jim" u="1"/>
        <s v="Charlie" u="1"/>
        <s v="Maher" u="1"/>
        <s v="Stephen" u="1"/>
        <s v="Isabelle" u="1"/>
        <s v="Halyna" u="1"/>
        <s v="Edward" u="1"/>
        <s v="Michaela" u="1"/>
        <s v="Trev" u="1"/>
        <s v="Yiwen" u="1"/>
        <s v="Adriana" u="1"/>
        <s v="Dina" u="1"/>
        <s v="Han" u="1"/>
        <s v="Filippo" u="1"/>
        <s v="Maxine" u="1"/>
        <s v="Luca" u="1"/>
        <s v="Kathryn" u="1"/>
        <s v="Arnie" u="1"/>
        <s v="Lee" u="1"/>
        <s v="Slava" u="1"/>
        <s v="Kathleen" u="1"/>
        <s v="Louise" u="1"/>
        <s v="Liz" u="1"/>
        <s v="Karina" u="1"/>
        <s v="Xi" u="1"/>
        <s v="Len" u="1"/>
        <s v="Isaac" u="1"/>
        <s v="Jan" u="1"/>
        <s v="Monty" u="1"/>
        <s v="Patricia" u="1"/>
        <s v="Jacquelyn" u="1"/>
        <s v="Aleksander" u="1"/>
        <s v="Emer" u="1"/>
        <s v="Eleonora" u="1"/>
        <s v="Robin" u="1"/>
        <s v="Andrea J" u="1"/>
        <s v="Jay" u="1"/>
        <s v="Marina" u="1"/>
        <s v="Doreen" u="1"/>
        <s v="Lan" u="1"/>
        <s v="Sean" u="1"/>
        <s v="Kevin" u="1"/>
        <s v="Erika" u="1"/>
        <s v="Scott" u="1"/>
        <s v="Lau" u="1"/>
        <s v="Craig" u="1"/>
        <s v="Manho" u="1"/>
        <s v="Steve" u="1"/>
        <s v="Ljiljana" u="1"/>
        <s v="Manjesha" u="1"/>
        <s v="Charles" u="1"/>
        <s v="Wang (Patricia)" u="1"/>
        <s v="Helmut" u="1"/>
        <s v="Terry" u="1"/>
        <s v="Tairan" u="1"/>
        <s v="Barb" u="1"/>
        <s v="Mary anne" u="1"/>
        <s v="Eileen" u="1"/>
        <s v="Testing_Individual" u="1"/>
        <s v="Chantal" u="1"/>
        <s v="Agnieszka" u="1"/>
        <s v="Lina" u="1"/>
        <s v="Saskia" u="1"/>
        <s v="Hilary" u="1"/>
        <s v="Lauren" u="1"/>
        <s v="Vic" u="1"/>
        <s v="Melissa" u="1"/>
        <s v="Macrae" u="1"/>
        <s v="Lisa" u="1"/>
        <s v="Anatoly" u="1"/>
        <s v="Pat" u="1"/>
        <s v="Phanindra" u="1"/>
        <s v="Carolyn" u="1"/>
        <s v="Al" u="1"/>
        <s v="Louis" u="1"/>
        <s v="Mario" u="1"/>
        <s v="Lena" u="1"/>
        <s v="Mary Helen" u="1"/>
        <s v="Thomas" u="1"/>
        <s v="Sunita" u="1"/>
        <s v="Jean-Emile" u="1"/>
        <s v="Andrew" u="1"/>
        <s v="Ray" u="1"/>
        <s v="Donald" u="1"/>
        <s v="Justin" u="1"/>
        <s v="Lynda" u="1"/>
        <s v="Huayan" u="1"/>
        <s v="Debbie" u="1"/>
        <s v="Lois" u="1"/>
        <s v="Evan" u="1"/>
        <s v="Zio" u="1"/>
        <s v="George" u="1"/>
        <s v="Yilin" u="1"/>
        <s v="Gabriella" u="1"/>
        <s v="Gillian" u="1"/>
        <s v="Winnie" u="1"/>
        <s v="Cathy" u="1"/>
        <s v="Tina" u="1"/>
        <s v="Hilda" u="1"/>
        <s v="June" u="1"/>
        <s v="Wendy" u="1"/>
        <s v="Vida" u="1"/>
        <s v="Antony" u="1"/>
        <s v="Tehmina" u="1"/>
        <s v="Punitha" u="1"/>
        <s v="Ivan" u="1"/>
        <s v="Reza" u="1"/>
        <s v="Ed" u="1"/>
        <s v="Carol" u="1"/>
        <s v="Ann-Marie" u="1"/>
        <s v="Ka Yee Gaby" u="1"/>
        <s v="Dorothee" u="1"/>
        <s v="Marie-France" u="1"/>
        <s v="Umer" u="1"/>
        <s v="Karlo" u="1"/>
        <s v="Linda" u="1"/>
        <s v="Gerald" u="1"/>
        <s v="Aaron" u="1"/>
        <s v="Dale" u="1"/>
        <s v="Vera" u="1"/>
        <s v="Jean-Claude" u="1"/>
        <s v="Ross" u="1"/>
        <s v="Trista" u="1"/>
        <s v="Wayne" u="1"/>
        <s v="Sharron" u="1"/>
        <s v="Dave" u="1"/>
        <s v="Cynthia" u="1"/>
        <s v="Elizabeth" u="1"/>
        <s v="Shirley" u="1"/>
        <s v="Plamenka (Pam)" u="1"/>
        <s v="Christina" u="1"/>
        <s v="Kanta" u="1"/>
        <s v="Ronald" u="1"/>
        <s v="Marju" u="1"/>
        <s v="Yuliya" u="1"/>
        <s v="Emily" u="1"/>
        <s v="Stacey" u="1"/>
        <s v="Jane" u="1"/>
        <s v="Cordeiro" u="1"/>
        <s v="Alla" u="1"/>
        <s v="Jeff" u="1"/>
        <s v="Irene" u="1"/>
        <s v="Howard" u="1"/>
        <s v="Marian" u="1"/>
        <s v="Beth" u="1"/>
        <s v="Tungaa" u="1"/>
        <s v="Andree" u="1"/>
        <s v="Kerri" u="1"/>
        <s v="William" u="1"/>
        <s v="Jianping" u="1"/>
        <s v="Nathalie" u="1"/>
        <s v="Judi" u="1"/>
        <s v="Frances Indrawati" u="1"/>
        <s v="Katarzyna" u="1"/>
        <s v="Yajneshvar" u="1"/>
        <s v="Manon" u="1"/>
        <s v="Julia" u="1"/>
        <s v="Oksana" u="1"/>
        <s v="Alexandru" u="1"/>
        <s v="Benjamin" u="1"/>
        <s v="Simon" u="1"/>
        <s v="Lilan" u="1"/>
        <s v="Susanna" u="1"/>
        <s v="Noshin" u="1"/>
        <s v="Andrea" u="1"/>
        <s v="Carolan" u="1"/>
        <s v="Sharmaine" u="1"/>
        <s v="Ava-Lee" u="1"/>
        <s v="Christy" u="1"/>
        <s v="Robert" u="1"/>
        <s v="Keith" u="1"/>
        <s v="Suzanne" u="1"/>
        <s v="Ladan" u="1"/>
        <s v="Martha" u="1"/>
        <s v="Shafaghat" u="1"/>
        <s v="Ruth" u="1"/>
        <s v="Shailla" u="1"/>
        <s v="Milos" u="1"/>
        <s v="Mary F" u="1"/>
        <s v="Lorenzo" u="1"/>
        <s v="Marguerite" u="1"/>
        <s v="Daria" u="1"/>
        <s v="Monica" u="1"/>
        <s v="Rita Hildegard" u="1"/>
        <s v="Janice" u="1"/>
        <s v="Aneta" u="1"/>
        <s v="Jonathan" u="1"/>
        <s v="Ryszard" u="1"/>
        <s v="Sylvia" u="1"/>
        <s v="Julie" u="1"/>
        <s v="Christine" u="1"/>
        <s v="Rodrigo" u="1"/>
        <s v="Lilia" u="1"/>
        <s v="Konstantin" u="1"/>
        <s v="Natalia" u="1"/>
        <s v="Nory" u="1"/>
        <s v="Bo" u="1"/>
        <s v="Anastasia" u="1"/>
        <s v="Margot" u="1"/>
        <s v="Laleh" u="1"/>
        <s v="Andria" u="1"/>
        <s v="Constance" u="1"/>
        <s v="Bruce" u="1"/>
        <s v="Bill" u="1"/>
        <s v="Carmen" u="1"/>
        <s v="Gayatri" u="1"/>
        <s v="Rodrick" u="1"/>
        <s v="David" u="1"/>
        <s v="Sonia" u="1"/>
        <s v="Miranda" u="1"/>
        <s v="Sunny" u="1"/>
        <s v="Rebecca" u="1"/>
        <s v="Alison" u="1"/>
        <s v="Tony" u="1"/>
        <s v="Catherine" u="1"/>
        <s v="Jennifer" u="1"/>
        <s v="Mary" u="1"/>
        <s v="teress" u="1"/>
        <s v="Hazel" u="1"/>
        <s v="Michèle" u="1"/>
        <s v="Helen" u="1"/>
        <s v="Horst" u="1"/>
        <s v="Dennis" u="1"/>
        <s v="Hank" u="1"/>
        <s v="Veronique" u="1"/>
        <s v="Nick" u="1"/>
      </sharedItems>
    </cacheField>
    <cacheField name="Email" numFmtId="0">
      <sharedItems/>
    </cacheField>
    <cacheField name="Organization" numFmtId="0">
      <sharedItems containsNonDate="0" containsString="0" containsBlank="1" count="1">
        <m/>
      </sharedItems>
    </cacheField>
    <cacheField name="Message" numFmtId="0">
      <sharedItems/>
    </cacheField>
    <cacheField name="Severity" numFmtId="0">
      <sharedItems/>
    </cacheField>
    <cacheField name="OrderType" numFmtId="0">
      <sharedItems containsBlank="1" count="4">
        <s v="EventRegistration"/>
        <m u="1"/>
        <s v="MembershipRenewal" u="1"/>
        <s v="MembershipApplication" u="1"/>
      </sharedItems>
    </cacheField>
    <cacheField name="ReceiptI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dmond" refreshedDate="43270.52128645833" createdVersion="1" refreshedVersion="4" recordCount="11" upgradeOnRefresh="1">
  <cacheSource type="worksheet">
    <worksheetSource ref="A1:AR65536" sheet="Contacts"/>
  </cacheSource>
  <cacheFields count="44">
    <cacheField name="Id" numFmtId="0">
      <sharedItems containsString="0" containsBlank="1" containsNumber="1" containsInteger="1" minValue="37415036" maxValue="45165057"/>
    </cacheField>
    <cacheField name="Archived" numFmtId="0">
      <sharedItems containsBlank="1"/>
    </cacheField>
    <cacheField name="Donor" numFmtId="0">
      <sharedItems containsBlank="1"/>
    </cacheField>
    <cacheField name="Event registrant" numFmtId="0">
      <sharedItems containsBlank="1"/>
    </cacheField>
    <cacheField name="Member" numFmtId="0">
      <sharedItems containsBlank="1"/>
    </cacheField>
    <cacheField name="Suspended member" numFmtId="0">
      <sharedItems containsBlank="1"/>
    </cacheField>
    <cacheField name="Event announcements" numFmtId="0">
      <sharedItems containsBlank="1"/>
    </cacheField>
    <cacheField name="Member emails and newsletters" numFmtId="0">
      <sharedItems containsBlank="1"/>
    </cacheField>
    <cacheField name="Email delivery disabled" numFmtId="0">
      <sharedItems containsBlank="1"/>
    </cacheField>
    <cacheField name="Receiving emails disabled" numFmtId="0">
      <sharedItems containsBlank="1"/>
    </cacheField>
    <cacheField name="Balance" numFmtId="0">
      <sharedItems containsString="0" containsBlank="1" containsNumber="1" containsInteger="1" minValue="0" maxValue="350"/>
    </cacheField>
    <cacheField name="Total donated" numFmtId="0">
      <sharedItems containsString="0" containsBlank="1" containsNumber="1" containsInteger="1" minValue="0" maxValue="0"/>
    </cacheField>
    <cacheField name="Registered for specific event" numFmtId="0">
      <sharedItems containsNonDate="0" containsString="0" containsBlank="1"/>
    </cacheField>
    <cacheField name="Profile last updated" numFmtId="0">
      <sharedItems containsNonDate="0" containsDate="1" containsString="0" containsBlank="1" minDate="2017-04-20T00:00:00" maxDate="2018-05-25T00:00:00"/>
    </cacheField>
    <cacheField name="Profile last updated by" numFmtId="0">
      <sharedItems containsString="0" containsBlank="1" containsNumber="1" containsInteger="1" minValue="37415038" maxValue="45165057"/>
    </cacheField>
    <cacheField name="Creation date" numFmtId="0">
      <sharedItems containsNonDate="0" containsDate="1" containsString="0" containsBlank="1" minDate="2017-01-31T00:00:00" maxDate="2018-05-11T00:00:00"/>
    </cacheField>
    <cacheField name="Last login date" numFmtId="0">
      <sharedItems containsNonDate="0" containsDate="1" containsString="0" containsBlank="1" minDate="2017-04-20T00:00:00" maxDate="2018-06-19T00:00:00"/>
    </cacheField>
    <cacheField name="Administrator role" numFmtId="0">
      <sharedItems containsBlank="1"/>
    </cacheField>
    <cacheField name="Notes" numFmtId="0">
      <sharedItems containsBlank="1"/>
    </cacheField>
    <cacheField name="Terms of use accepted" numFmtId="0">
      <sharedItems containsBlank="1"/>
    </cacheField>
    <cacheField name="Subscription source" numFmtId="0">
      <sharedItems containsNonDate="0" containsString="0" containsBlank="1"/>
    </cacheField>
    <cacheField name="Member role" numFmtId="0">
      <sharedItems containsNonDate="0" containsString="0" containsBlank="1"/>
    </cacheField>
    <cacheField name="Member since" numFmtId="0">
      <sharedItems containsNonDate="0" containsDate="1" containsString="0" containsBlank="1" minDate="2007-04-26T00:00:00" maxDate="2018-05-11T00:00:00"/>
    </cacheField>
    <cacheField name="Renewal due" numFmtId="0">
      <sharedItems containsNonDate="0" containsDate="1" containsString="0" containsBlank="1" minDate="2018-04-20T00:00:00" maxDate="2100-01-01T00:00:00"/>
    </cacheField>
    <cacheField name="Membership level ID" numFmtId="0">
      <sharedItems containsString="0" containsBlank="1" containsNumber="1" containsInteger="1" minValue="845463" maxValue="845464"/>
    </cacheField>
    <cacheField name="Access to profile by others" numFmtId="0">
      <sharedItems containsBlank="1"/>
    </cacheField>
    <cacheField name="Renewal date last changed" numFmtId="0">
      <sharedItems containsNonDate="0" containsDate="1" containsString="0" containsBlank="1" minDate="2017-04-12T00:00:00" maxDate="2017-07-08T00:00:00"/>
    </cacheField>
    <cacheField name="Level last changed" numFmtId="0">
      <sharedItems containsNonDate="0" containsDate="1" containsString="0" containsBlank="1" minDate="2018-05-02T00:00:00" maxDate="2018-05-11T00:00:00"/>
    </cacheField>
    <cacheField name="Bundle ID" numFmtId="0">
      <sharedItems containsNonDate="0" containsString="0" containsBlank="1"/>
    </cacheField>
    <cacheField name="Membership status" numFmtId="0">
      <sharedItems containsBlank="1" count="11">
        <s v="Active"/>
        <s v="PendingNew"/>
        <m/>
        <s v="PendingUpgrade" u="1"/>
        <s v="2Lapsed0falseLapsed" u="1"/>
        <s v="3Pending - Renewal0falsePendingRenewal" u="1"/>
        <s v="1Active0falseActive" u="1"/>
        <s v="Lapsed" u="1"/>
        <s v="30Pending - Level change0falsePendingUpgrade" u="1"/>
        <s v="PendingRenewal" u="1"/>
        <s v="20Pending - New0falsePendingNew" u="1"/>
      </sharedItems>
    </cacheField>
    <cacheField name="Membership enabled" numFmtId="0">
      <sharedItems containsBlank="1"/>
    </cacheField>
    <cacheField name="User ID" numFmtId="0">
      <sharedItems containsString="0" containsBlank="1" containsNumber="1" containsInteger="1" minValue="37415036" maxValue="45165057"/>
    </cacheField>
    <cacheField name="My First name" numFmtId="0">
      <sharedItems containsBlank="1"/>
    </cacheField>
    <cacheField name="Last name" numFmtId="0">
      <sharedItems containsBlank="1"/>
    </cacheField>
    <cacheField name="Organization" numFmtId="0">
      <sharedItems containsBlank="1"/>
    </cacheField>
    <cacheField name="Email" numFmtId="0">
      <sharedItems containsBlank="1"/>
    </cacheField>
    <cacheField name="Phone" numFmtId="0">
      <sharedItems containsBlank="1"/>
    </cacheField>
    <cacheField name="Privacy Policy Optin" numFmtId="0">
      <sharedItems containsBlank="1"/>
    </cacheField>
    <cacheField name="Prenom" numFmtId="0">
      <sharedItems containsBlank="1"/>
    </cacheField>
    <cacheField name="Surnom" numFmtId="0">
      <sharedItems containsBlank="1"/>
    </cacheField>
    <cacheField name="Group participation" numFmtId="0">
      <sharedItems containsBlank="1"/>
    </cacheField>
    <cacheField name="Affiliate ID" numFmtId="0">
      <sharedItems containsBlank="1"/>
    </cacheField>
    <cacheField name="Membership Fee Based on Salary" numFmtId="0">
      <sharedItems containsNonDate="0" containsString="0" containsBlank="1"/>
    </cacheField>
    <cacheField name="Membership Level" numFmtId="0">
      <sharedItems containsBlank="1" count="26">
        <s v="SAMPLE - Premium membership"/>
        <s v="SAMPLE - Regular membership"/>
        <m/>
        <s v="Experimental" u="1"/>
        <s v="Other contacts (admin)" u="1"/>
        <s v="Анонимные алкоголики" u="1"/>
        <s v="New Member" u="1"/>
        <s v="Volunteer Admin" u="1"/>
        <s v="3 year membership" u="1"/>
        <s v="New Member - Instructor" u="1"/>
        <s v="Returning Member - Instructor" u="1"/>
        <s v="рекаринг" u="1"/>
        <s v="AutoTests_free" u="1"/>
        <s v="Google Maps level" u="1"/>
        <s v="Honourary" u="1"/>
        <s v="Deferral" u="1"/>
        <s v="25 Years+ - Instructor" u="1"/>
        <s v="Basic" u="1"/>
        <s v="Premium" u="1"/>
        <s v="Silver" u="1"/>
        <s v="Gold" u="1"/>
        <s v="Honourary - Instructor" u="1"/>
        <s v="Late Registration" u="1"/>
        <s v="Returning Member" u="1"/>
        <s v="Limited Admins" u="1"/>
        <s v="25 Years+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34004918"/>
    <s v="https://api.wildapricot.org/v2/accounts/221748/AuditLogItems/34004918"/>
    <s v="2017-10-13T18:58:34.55Z0"/>
    <n v="37415038"/>
    <s v="https://api.wildapricot.org/v2/accounts/221748/Contacts/37415038"/>
    <x v="0"/>
    <x v="0"/>
    <s v="alex@newpathconsulting.com"/>
    <x v="0"/>
    <s v="Stripe - invalid_expiry_year Your card's expiration year is invalid."/>
    <s v="Error"/>
    <x v="0"/>
    <m/>
  </r>
  <r>
    <n v="34004867"/>
    <s v="https://api.wildapricot.org/v2/accounts/221748/AuditLogItems/34004867"/>
    <s v="2017-10-13T18:57:21.18Z0"/>
    <n v="37415038"/>
    <s v="https://api.wildapricot.org/v2/accounts/221748/Contacts/37415038"/>
    <x v="0"/>
    <x v="0"/>
    <s v="alex@newpathconsulting.com"/>
    <x v="0"/>
    <s v="Invoice #00003 generated for Event registration by Sirota, Alex. Amount $100.00."/>
    <s v="Information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">
  <r>
    <n v="38535699"/>
    <b v="0"/>
    <b v="0"/>
    <b v="0"/>
    <b v="1"/>
    <b v="0"/>
    <b v="1"/>
    <b v="1"/>
    <b v="0"/>
    <b v="0"/>
    <n v="0"/>
    <n v="0"/>
    <m/>
    <d v="2017-04-20T00:00:00"/>
    <n v="37415038"/>
    <d v="2017-04-20T00:00:00"/>
    <d v="2017-04-20T00:00:00"/>
    <m/>
    <s v=""/>
    <b v="1"/>
    <m/>
    <m/>
    <d v="2017-04-20T00:00:00"/>
    <d v="2018-04-20T00:00:00"/>
    <n v="845463"/>
    <b v="1"/>
    <d v="2017-04-20T00:00:00"/>
    <m/>
    <m/>
    <x v="0"/>
    <b v="1"/>
    <n v="38535699"/>
    <s v="Linda"/>
    <s v="Laflamme"/>
    <s v="IARP"/>
    <s v="linda@starfire3.net"/>
    <s v=""/>
    <b v="0"/>
    <s v=""/>
    <s v=""/>
    <m/>
    <s v=""/>
    <m/>
    <x v="0"/>
  </r>
  <r>
    <n v="45165057"/>
    <b v="0"/>
    <b v="0"/>
    <b v="0"/>
    <b v="1"/>
    <b v="0"/>
    <b v="1"/>
    <b v="1"/>
    <b v="0"/>
    <b v="0"/>
    <n v="0"/>
    <n v="0"/>
    <m/>
    <d v="2018-05-10T00:00:00"/>
    <n v="45165057"/>
    <d v="2018-05-10T00:00:00"/>
    <d v="2018-05-10T00:00:00"/>
    <s v="Account administrator (Full access)"/>
    <s v=""/>
    <b v="1"/>
    <m/>
    <m/>
    <d v="2018-05-10T00:00:00"/>
    <d v="2018-06-01T00:00:00"/>
    <n v="845463"/>
    <b v="1"/>
    <m/>
    <d v="2018-05-10T00:00:00"/>
    <m/>
    <x v="0"/>
    <b v="1"/>
    <n v="45165057"/>
    <s v="Charlie"/>
    <s v="Lindahl"/>
    <s v=""/>
    <s v="cyberchuck2000@yahoo.com"/>
    <s v="469-231-7778"/>
    <b v="0"/>
    <s v=""/>
    <s v=""/>
    <m/>
    <s v=""/>
    <m/>
    <x v="0"/>
  </r>
  <r>
    <n v="39040496"/>
    <b v="0"/>
    <b v="0"/>
    <b v="0"/>
    <b v="1"/>
    <b v="0"/>
    <b v="1"/>
    <b v="1"/>
    <b v="0"/>
    <b v="0"/>
    <n v="0"/>
    <n v="0"/>
    <m/>
    <d v="2017-05-23T00:00:00"/>
    <n v="37415038"/>
    <d v="2017-05-23T00:00:00"/>
    <d v="2017-08-18T00:00:00"/>
    <m/>
    <s v=""/>
    <b v="1"/>
    <m/>
    <m/>
    <d v="2017-05-23T00:00:00"/>
    <d v="2018-05-23T00:00:00"/>
    <n v="845463"/>
    <b v="1"/>
    <d v="2017-05-23T00:00:00"/>
    <m/>
    <m/>
    <x v="0"/>
    <b v="1"/>
    <n v="39040496"/>
    <s v="Patrick"/>
    <s v="McNeill"/>
    <s v=""/>
    <s v="patrick@newpathconsulting.com"/>
    <s v=""/>
    <b v="0"/>
    <s v=""/>
    <s v=""/>
    <m/>
    <s v=""/>
    <m/>
    <x v="0"/>
  </r>
  <r>
    <n v="37415038"/>
    <b v="0"/>
    <b v="0"/>
    <b v="1"/>
    <b v="1"/>
    <b v="0"/>
    <b v="1"/>
    <b v="1"/>
    <b v="0"/>
    <b v="0"/>
    <n v="100"/>
    <n v="0"/>
    <m/>
    <d v="2017-10-13T00:00:00"/>
    <n v="37415038"/>
    <d v="2017-01-31T00:00:00"/>
    <d v="2018-06-08T00:00:00"/>
    <s v="Account administrator (Full access)"/>
    <s v=""/>
    <b v="1"/>
    <m/>
    <m/>
    <d v="2017-04-12T00:00:00"/>
    <m/>
    <n v="845463"/>
    <b v="1"/>
    <d v="2017-04-12T00:00:00"/>
    <m/>
    <m/>
    <x v="0"/>
    <b v="1"/>
    <n v="37415038"/>
    <s v="Alex"/>
    <s v="Sirota"/>
    <s v=""/>
    <s v="alex@newpathconsulting.com"/>
    <s v=""/>
    <b v="0"/>
    <s v=""/>
    <s v=""/>
    <s v="Board Members, Team A"/>
    <s v=""/>
    <m/>
    <x v="0"/>
  </r>
  <r>
    <n v="39378569"/>
    <b v="0"/>
    <b v="0"/>
    <b v="1"/>
    <b v="1"/>
    <b v="0"/>
    <b v="1"/>
    <b v="1"/>
    <b v="0"/>
    <b v="0"/>
    <n v="350"/>
    <n v="0"/>
    <m/>
    <d v="2018-02-22T00:00:00"/>
    <n v="37415038"/>
    <d v="2017-06-19T00:00:00"/>
    <d v="2018-05-01T00:00:00"/>
    <m/>
    <s v=""/>
    <b v="1"/>
    <m/>
    <m/>
    <d v="2017-06-19T00:00:00"/>
    <d v="2018-06-19T00:00:00"/>
    <n v="845463"/>
    <b v="1"/>
    <m/>
    <m/>
    <m/>
    <x v="0"/>
    <b v="1"/>
    <n v="39378569"/>
    <s v="Alex"/>
    <s v="Sirota"/>
    <s v=""/>
    <s v="asirota+test@gmail.com"/>
    <s v="905 781 2539"/>
    <b v="0"/>
    <s v=""/>
    <s v=""/>
    <m/>
    <s v=""/>
    <m/>
    <x v="0"/>
  </r>
  <r>
    <n v="37415037"/>
    <b v="0"/>
    <b v="0"/>
    <b v="1"/>
    <b v="1"/>
    <b v="0"/>
    <b v="1"/>
    <b v="1"/>
    <b v="0"/>
    <b v="0"/>
    <n v="0"/>
    <n v="0"/>
    <m/>
    <m/>
    <m/>
    <d v="2017-01-31T00:00:00"/>
    <m/>
    <m/>
    <s v="Renewal processed on 29 May 2009 from 26 April 2008 until 31 December 2099"/>
    <b v="0"/>
    <m/>
    <m/>
    <d v="2007-04-26T00:00:00"/>
    <d v="2099-12-31T00:00:00"/>
    <n v="845464"/>
    <b v="1"/>
    <m/>
    <m/>
    <m/>
    <x v="0"/>
    <b v="1"/>
    <n v="37415037"/>
    <s v="Jane"/>
    <s v="Smith"/>
    <s v="Nothing Net"/>
    <s v="sample@member.wa"/>
    <s v="555-5555"/>
    <b v="0"/>
    <s v=""/>
    <s v=""/>
    <m/>
    <s v=""/>
    <m/>
    <x v="1"/>
  </r>
  <r>
    <n v="37415036"/>
    <b v="0"/>
    <b v="0"/>
    <b v="1"/>
    <b v="1"/>
    <b v="0"/>
    <b v="1"/>
    <b v="1"/>
    <b v="0"/>
    <b v="0"/>
    <n v="0"/>
    <n v="0"/>
    <m/>
    <m/>
    <m/>
    <d v="2017-01-31T00:00:00"/>
    <m/>
    <m/>
    <s v=""/>
    <b v="0"/>
    <m/>
    <m/>
    <d v="2015-03-10T00:00:00"/>
    <d v="2099-03-31T00:00:00"/>
    <n v="845463"/>
    <b v="1"/>
    <m/>
    <m/>
    <m/>
    <x v="0"/>
    <b v="1"/>
    <n v="37415036"/>
    <s v="John"/>
    <s v="Smith"/>
    <s v=""/>
    <s v="sample@member2.wa"/>
    <s v="555-5556"/>
    <b v="0"/>
    <s v=""/>
    <s v=""/>
    <m/>
    <s v=""/>
    <m/>
    <x v="0"/>
  </r>
  <r>
    <n v="44898212"/>
    <b v="0"/>
    <b v="0"/>
    <b v="0"/>
    <b v="1"/>
    <b v="0"/>
    <b v="1"/>
    <b v="1"/>
    <b v="0"/>
    <b v="0"/>
    <n v="0"/>
    <n v="0"/>
    <m/>
    <d v="2018-05-24T00:00:00"/>
    <n v="37415038"/>
    <d v="2018-05-02T00:00:00"/>
    <d v="2018-06-18T00:00:00"/>
    <s v="Account administrator (Full access)"/>
    <s v=""/>
    <b v="1"/>
    <m/>
    <m/>
    <d v="2018-05-02T00:00:00"/>
    <d v="2019-05-02T00:00:00"/>
    <n v="845463"/>
    <b v="1"/>
    <m/>
    <d v="2018-05-02T00:00:00"/>
    <m/>
    <x v="0"/>
    <b v="1"/>
    <n v="44898212"/>
    <s v="Edmond"/>
    <s v="Tsoi"/>
    <s v="NewPath Consulting"/>
    <s v="edmond@newpathconsulting.com"/>
    <s v=""/>
    <b v="0"/>
    <s v=""/>
    <s v=""/>
    <m/>
    <s v=""/>
    <m/>
    <x v="0"/>
  </r>
  <r>
    <n v="38778549"/>
    <b v="0"/>
    <b v="0"/>
    <b v="0"/>
    <b v="1"/>
    <b v="0"/>
    <b v="1"/>
    <b v="1"/>
    <b v="0"/>
    <b v="0"/>
    <n v="0"/>
    <n v="0"/>
    <m/>
    <d v="2017-05-06T00:00:00"/>
    <n v="37415038"/>
    <d v="2017-05-06T00:00:00"/>
    <m/>
    <m/>
    <s v=""/>
    <b v="0"/>
    <m/>
    <m/>
    <d v="2017-05-06T00:00:00"/>
    <d v="2018-05-06T00:00:00"/>
    <n v="845464"/>
    <b v="1"/>
    <d v="2017-05-06T00:00:00"/>
    <m/>
    <m/>
    <x v="0"/>
    <b v="1"/>
    <n v="38778549"/>
    <s v="Stewart"/>
    <s v="Whaley"/>
    <s v="Do Great Stuff"/>
    <s v="stewart.whaley@gmail.com"/>
    <s v=""/>
    <b v="0"/>
    <s v=""/>
    <s v=""/>
    <m/>
    <s v=""/>
    <m/>
    <x v="1"/>
  </r>
  <r>
    <n v="39829638"/>
    <b v="0"/>
    <b v="0"/>
    <b v="0"/>
    <b v="1"/>
    <b v="0"/>
    <b v="1"/>
    <b v="1"/>
    <b v="0"/>
    <b v="0"/>
    <n v="0"/>
    <n v="0"/>
    <m/>
    <d v="2017-07-07T00:00:00"/>
    <n v="37415038"/>
    <d v="2017-07-07T00:00:00"/>
    <m/>
    <m/>
    <s v=""/>
    <b v="0"/>
    <m/>
    <m/>
    <d v="2017-07-07T00:00:00"/>
    <d v="2018-07-07T00:00:00"/>
    <n v="845463"/>
    <b v="1"/>
    <d v="2017-07-07T00:00:00"/>
    <m/>
    <m/>
    <x v="1"/>
    <b v="1"/>
    <n v="39829638"/>
    <s v="Владимир"/>
    <s v="Жаринов"/>
    <s v="CPA RUSSIA"/>
    <s v="v.zharinov@cpa.org.ru"/>
    <s v=""/>
    <b v="0"/>
    <s v=""/>
    <s v=""/>
    <m/>
    <s v="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mplePivotTable" cacheId="1" applyNumberFormats="0" applyBorderFormats="0" applyFontFormats="0" applyPatternFormats="0" applyAlignmentFormats="0" applyWidthHeightFormats="1" dataCaption="Data" updatedVersion="6" asteriskTotals="1" showMemberPropertyTips="0" useAutoFormatting="1" itemPrintTitles="1" createdVersion="1" indent="0" compact="0" compactData="0" gridDropZones="1">
  <location ref="A1:E6" firstHeaderRow="1" firstDataRow="2" firstDataCol="1"/>
  <pivotFields count="44"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11">
        <item x="0"/>
        <item m="1" x="7"/>
        <item x="1"/>
        <item m="1" x="9"/>
        <item m="1" x="3"/>
        <item x="2"/>
        <item m="1" x="4"/>
        <item m="1" x="8"/>
        <item m="1" x="6"/>
        <item m="1" x="10"/>
        <item m="1" x="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>
      <items count="27">
        <item x="2"/>
        <item m="1" x="18"/>
        <item m="1" x="3"/>
        <item m="1" x="17"/>
        <item m="1" x="11"/>
        <item m="1" x="24"/>
        <item m="1" x="4"/>
        <item m="1" x="19"/>
        <item m="1" x="8"/>
        <item m="1" x="5"/>
        <item m="1" x="20"/>
        <item m="1" x="13"/>
        <item m="1" x="12"/>
        <item x="0"/>
        <item x="1"/>
        <item m="1" x="23"/>
        <item m="1" x="6"/>
        <item m="1" x="25"/>
        <item m="1" x="10"/>
        <item m="1" x="16"/>
        <item m="1" x="14"/>
        <item m="1" x="15"/>
        <item m="1" x="7"/>
        <item m="1" x="9"/>
        <item m="1" x="21"/>
        <item m="1" x="22"/>
        <item t="default"/>
      </items>
    </pivotField>
  </pivotFields>
  <rowFields count="1">
    <field x="43"/>
  </rowFields>
  <rowItems count="4">
    <i>
      <x/>
    </i>
    <i>
      <x v="13"/>
    </i>
    <i>
      <x v="14"/>
    </i>
    <i t="grand">
      <x/>
    </i>
  </rowItems>
  <colFields count="1">
    <field x="29"/>
  </colFields>
  <colItems count="4">
    <i>
      <x/>
    </i>
    <i>
      <x v="2"/>
    </i>
    <i>
      <x v="5"/>
    </i>
    <i t="grand">
      <x/>
    </i>
  </colItems>
  <dataFields count="1">
    <dataField name="Number of contacts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E6" firstHeaderRow="1" firstDataRow="2" firstDataCol="3"/>
  <pivotFields count="13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91">
        <item m="1" x="8"/>
        <item m="1" x="19"/>
        <item m="1" x="101"/>
        <item m="1" x="180"/>
        <item m="1" x="176"/>
        <item m="1" x="28"/>
        <item m="1" x="80"/>
        <item m="1" x="17"/>
        <item m="1" x="92"/>
        <item m="1" x="125"/>
        <item sd="0" m="1" x="172"/>
        <item sd="0" m="1" x="122"/>
        <item m="1" x="167"/>
        <item m="1" x="114"/>
        <item sd="0" m="1" x="77"/>
        <item m="1" x="116"/>
        <item m="1" x="110"/>
        <item m="1" x="93"/>
        <item m="1" x="57"/>
        <item m="1" x="26"/>
        <item m="1" x="15"/>
        <item m="1" x="43"/>
        <item m="1" x="31"/>
        <item m="1" x="187"/>
        <item m="1" x="105"/>
        <item m="1" x="157"/>
        <item m="1" x="153"/>
        <item m="1" x="123"/>
        <item m="1" x="152"/>
        <item m="1" x="63"/>
        <item m="1" x="177"/>
        <item m="1" x="76"/>
        <item m="1" x="102"/>
        <item m="1" x="166"/>
        <item m="1" x="34"/>
        <item m="1" x="100"/>
        <item m="1" x="65"/>
        <item m="1" x="106"/>
        <item m="1" x="118"/>
        <item m="1" x="95"/>
        <item m="1" x="134"/>
        <item m="1" x="71"/>
        <item m="1" x="70"/>
        <item m="1" x="170"/>
        <item m="1" x="186"/>
        <item m="1" x="164"/>
        <item m="1" x="16"/>
        <item m="1" x="18"/>
        <item m="1" x="85"/>
        <item m="1" x="112"/>
        <item m="1" x="23"/>
        <item m="1" x="62"/>
        <item m="1" x="160"/>
        <item m="1" x="103"/>
        <item m="1" x="88"/>
        <item m="1" x="183"/>
        <item m="1" x="33"/>
        <item m="1" x="11"/>
        <item m="1" x="181"/>
        <item m="1" x="97"/>
        <item m="1" x="42"/>
        <item m="1" x="67"/>
        <item m="1" x="89"/>
        <item m="1" x="138"/>
        <item m="1" x="45"/>
        <item m="1" x="4"/>
        <item m="1" x="27"/>
        <item m="1" x="107"/>
        <item m="1" x="24"/>
        <item m="1" x="132"/>
        <item m="1" x="38"/>
        <item m="1" x="159"/>
        <item m="1" x="2"/>
        <item m="1" x="29"/>
        <item m="1" x="13"/>
        <item m="1" x="56"/>
        <item m="1" x="182"/>
        <item m="1" x="99"/>
        <item m="1" x="22"/>
        <item m="1" x="35"/>
        <item m="1" x="115"/>
        <item m="1" x="127"/>
        <item m="1" x="133"/>
        <item m="1" x="52"/>
        <item m="1" x="154"/>
        <item m="1" x="113"/>
        <item m="1" x="72"/>
        <item m="1" x="173"/>
        <item m="1" x="87"/>
        <item m="1" x="68"/>
        <item m="1" x="131"/>
        <item m="1" x="146"/>
        <item m="1" x="48"/>
        <item m="1" x="158"/>
        <item m="1" x="96"/>
        <item m="1" x="36"/>
        <item m="1" x="104"/>
        <item m="1" x="137"/>
        <item m="1" x="51"/>
        <item m="1" x="144"/>
        <item m="1" x="40"/>
        <item m="1" x="25"/>
        <item m="1" x="121"/>
        <item m="1" x="91"/>
        <item m="1" x="163"/>
        <item m="1" x="119"/>
        <item m="1" x="73"/>
        <item m="1" x="111"/>
        <item m="1" x="37"/>
        <item m="1" x="150"/>
        <item m="1" x="120"/>
        <item m="1" x="84"/>
        <item m="1" x="175"/>
        <item m="1" x="135"/>
        <item m="1" x="117"/>
        <item m="1" x="126"/>
        <item m="1" x="136"/>
        <item m="1" x="81"/>
        <item m="1" x="83"/>
        <item m="1" x="7"/>
        <item m="1" x="98"/>
        <item m="1" x="90"/>
        <item m="1" x="94"/>
        <item m="1" x="47"/>
        <item m="1" x="74"/>
        <item m="1" x="54"/>
        <item m="1" x="64"/>
        <item m="1" x="155"/>
        <item m="1" x="79"/>
        <item m="1" x="78"/>
        <item m="1" x="141"/>
        <item m="1" x="75"/>
        <item m="1" x="128"/>
        <item m="1" x="161"/>
        <item m="1" x="108"/>
        <item m="1" x="189"/>
        <item m="1" x="145"/>
        <item m="1" x="12"/>
        <item m="1" x="188"/>
        <item m="1" x="59"/>
        <item m="1" x="185"/>
        <item m="1" x="129"/>
        <item m="1" x="58"/>
        <item m="1" x="61"/>
        <item m="1" x="39"/>
        <item m="1" x="53"/>
        <item m="1" x="139"/>
        <item m="1" x="86"/>
        <item m="1" x="148"/>
        <item m="1" x="169"/>
        <item m="1" x="21"/>
        <item m="1" x="14"/>
        <item m="1" x="46"/>
        <item m="1" x="55"/>
        <item m="1" x="140"/>
        <item m="1" x="9"/>
        <item m="1" x="142"/>
        <item m="1" x="156"/>
        <item m="1" x="174"/>
        <item m="1" x="69"/>
        <item m="1" x="1"/>
        <item m="1" x="143"/>
        <item m="1" x="60"/>
        <item m="1" x="3"/>
        <item m="1" x="178"/>
        <item m="1" x="179"/>
        <item m="1" x="50"/>
        <item m="1" x="49"/>
        <item m="1" x="66"/>
        <item m="1" x="171"/>
        <item m="1" x="147"/>
        <item m="1" x="10"/>
        <item m="1" x="82"/>
        <item m="1" x="124"/>
        <item m="1" x="149"/>
        <item m="1" x="162"/>
        <item m="1" x="5"/>
        <item m="1" x="151"/>
        <item m="1" x="184"/>
        <item m="1" x="30"/>
        <item m="1" x="41"/>
        <item m="1" x="165"/>
        <item m="1" x="130"/>
        <item m="1" x="44"/>
        <item m="1" x="32"/>
        <item m="1" x="109"/>
        <item m="1" x="168"/>
        <item m="1" x="20"/>
        <item m="1" x="6"/>
        <item x="0"/>
        <item t="default"/>
      </items>
    </pivotField>
    <pivotField axis="axisRow" compact="0" outline="0" subtotalTop="0" showAll="0" includeNewItemsInFilter="1">
      <items count="566">
        <item m="1" x="2"/>
        <item m="1" x="546"/>
        <item m="1" x="476"/>
        <item m="1" x="271"/>
        <item m="1" x="430"/>
        <item m="1" x="298"/>
        <item m="1" x="397"/>
        <item m="1" x="201"/>
        <item m="1" x="315"/>
        <item m="1" x="138"/>
        <item m="1" x="508"/>
        <item m="1" x="49"/>
        <item m="1" x="407"/>
        <item m="1" x="328"/>
        <item m="1" x="544"/>
        <item m="1" x="218"/>
        <item m="1" x="67"/>
        <item m="1" x="559"/>
        <item m="1" x="176"/>
        <item sd="0" m="1" x="454"/>
        <item m="1" x="48"/>
        <item m="1" x="483"/>
        <item m="1" x="439"/>
        <item m="1" x="215"/>
        <item m="1" x="522"/>
        <item m="1" x="240"/>
        <item m="1" x="306"/>
        <item m="1" x="148"/>
        <item m="1" x="434"/>
        <item m="1" x="83"/>
        <item m="1" x="33"/>
        <item m="1" x="322"/>
        <item m="1" x="377"/>
        <item m="1" x="347"/>
        <item m="1" x="408"/>
        <item m="1" x="76"/>
        <item m="1" x="375"/>
        <item m="1" x="25"/>
        <item m="1" x="337"/>
        <item m="1" x="342"/>
        <item m="1" x="512"/>
        <item m="1" x="319"/>
        <item m="1" x="250"/>
        <item m="1" x="269"/>
        <item m="1" x="116"/>
        <item m="1" x="493"/>
        <item m="1" x="51"/>
        <item m="1" x="464"/>
        <item sd="0" m="1" x="405"/>
        <item m="1" x="175"/>
        <item sd="0" m="1" x="420"/>
        <item m="1" x="532"/>
        <item m="1" x="419"/>
        <item m="1" x="310"/>
        <item m="1" x="391"/>
        <item m="1" x="308"/>
        <item m="1" x="489"/>
        <item m="1" x="81"/>
        <item m="1" x="150"/>
        <item m="1" x="359"/>
        <item sd="0" m="1" x="270"/>
        <item m="1" x="195"/>
        <item m="1" x="507"/>
        <item m="1" x="276"/>
        <item m="1" x="70"/>
        <item m="1" x="521"/>
        <item m="1" x="167"/>
        <item m="1" x="369"/>
        <item m="1" x="80"/>
        <item m="1" x="340"/>
        <item m="1" x="11"/>
        <item m="1" x="40"/>
        <item m="1" x="313"/>
        <item m="1" x="358"/>
        <item m="1" x="187"/>
        <item m="1" x="382"/>
        <item m="1" x="216"/>
        <item m="1" x="529"/>
        <item m="1" x="94"/>
        <item m="1" x="444"/>
        <item m="1" x="438"/>
        <item m="1" x="26"/>
        <item m="1" x="234"/>
        <item m="1" x="124"/>
        <item m="1" x="324"/>
        <item m="1" x="243"/>
        <item m="1" x="160"/>
        <item m="1" x="224"/>
        <item m="1" x="560"/>
        <item m="1" x="211"/>
        <item m="1" x="29"/>
        <item m="1" x="417"/>
        <item m="1" x="542"/>
        <item m="1" x="251"/>
        <item m="1" x="528"/>
        <item m="1" x="338"/>
        <item m="1" x="68"/>
        <item m="1" x="220"/>
        <item m="1" x="446"/>
        <item m="1" x="422"/>
        <item m="1" x="433"/>
        <item m="1" x="86"/>
        <item m="1" x="198"/>
        <item m="1" x="87"/>
        <item m="1" x="238"/>
        <item m="1" x="305"/>
        <item m="1" x="93"/>
        <item m="1" x="553"/>
        <item m="1" x="514"/>
        <item m="1" x="466"/>
        <item m="1" x="263"/>
        <item m="1" x="153"/>
        <item m="1" x="121"/>
        <item m="1" x="412"/>
        <item m="1" x="180"/>
        <item m="1" x="157"/>
        <item m="1" x="20"/>
        <item m="1" x="331"/>
        <item m="1" x="503"/>
        <item m="1" x="196"/>
        <item m="1" x="235"/>
        <item m="1" x="241"/>
        <item m="1" x="479"/>
        <item m="1" x="552"/>
        <item m="1" x="333"/>
        <item m="1" x="280"/>
        <item m="1" x="527"/>
        <item m="1" x="541"/>
        <item m="1" x="289"/>
        <item m="1" x="277"/>
        <item m="1" x="226"/>
        <item m="1" x="1"/>
        <item m="1" x="309"/>
        <item m="1" x="16"/>
        <item m="1" x="9"/>
        <item m="1" x="364"/>
        <item m="1" x="266"/>
        <item m="1" x="299"/>
        <item m="1" x="510"/>
        <item m="1" x="37"/>
        <item m="1" x="273"/>
        <item m="1" x="214"/>
        <item m="1" x="275"/>
        <item m="1" x="346"/>
        <item m="1" x="501"/>
        <item m="1" x="350"/>
        <item m="1" x="72"/>
        <item m="1" x="554"/>
        <item m="1" x="443"/>
        <item m="1" x="255"/>
        <item m="1" x="294"/>
        <item m="1" x="252"/>
        <item m="1" x="366"/>
        <item m="1" x="189"/>
        <item m="1" x="355"/>
        <item m="1" x="409"/>
        <item m="1" x="450"/>
        <item m="1" x="557"/>
        <item m="1" x="341"/>
        <item m="1" x="184"/>
        <item m="1" x="398"/>
        <item m="1" x="484"/>
        <item m="1" x="91"/>
        <item m="1" x="381"/>
        <item m="1" x="402"/>
        <item m="1" x="416"/>
        <item m="1" x="260"/>
        <item m="1" x="363"/>
        <item m="1" x="54"/>
        <item m="1" x="520"/>
        <item m="1" x="193"/>
        <item m="1" x="423"/>
        <item m="1" x="39"/>
        <item m="1" x="186"/>
        <item m="1" x="413"/>
        <item m="1" x="181"/>
        <item m="1" x="441"/>
        <item m="1" x="232"/>
        <item m="1" x="88"/>
        <item m="1" x="316"/>
        <item m="1" x="233"/>
        <item m="1" x="145"/>
        <item m="1" x="525"/>
        <item m="1" x="164"/>
        <item m="1" x="411"/>
        <item m="1" x="127"/>
        <item m="1" x="480"/>
        <item m="1" x="112"/>
        <item m="1" x="107"/>
        <item m="1" x="32"/>
        <item m="1" x="348"/>
        <item m="1" x="219"/>
        <item m="1" x="472"/>
        <item m="1" x="130"/>
        <item m="1" x="242"/>
        <item m="1" x="279"/>
        <item m="1" x="228"/>
        <item m="1" x="245"/>
        <item m="1" x="320"/>
        <item m="1" x="253"/>
        <item m="1" x="230"/>
        <item m="1" x="21"/>
        <item m="1" x="465"/>
        <item m="1" x="47"/>
        <item m="1" x="481"/>
        <item m="1" x="111"/>
        <item m="1" x="429"/>
        <item m="1" x="287"/>
        <item m="1" x="85"/>
        <item m="1" x="555"/>
        <item m="1" x="336"/>
        <item m="1" x="537"/>
        <item m="1" x="132"/>
        <item m="1" x="156"/>
        <item m="1" x="82"/>
        <item m="1" x="547"/>
        <item m="1" x="247"/>
        <item m="1" x="115"/>
        <item m="1" x="161"/>
        <item m="1" x="239"/>
        <item m="1" x="177"/>
        <item m="1" x="79"/>
        <item m="1" x="75"/>
        <item m="1" x="244"/>
        <item m="1" x="351"/>
        <item m="1" x="192"/>
        <item m="1" x="90"/>
        <item m="1" x="456"/>
        <item m="1" x="335"/>
        <item m="1" x="445"/>
        <item m="1" x="506"/>
        <item m="1" x="60"/>
        <item m="1" x="69"/>
        <item m="1" x="42"/>
        <item m="1" x="368"/>
        <item m="1" x="284"/>
        <item m="1" x="314"/>
        <item m="1" x="99"/>
        <item m="1" x="478"/>
        <item m="1" x="414"/>
        <item m="1" x="206"/>
        <item m="1" x="105"/>
        <item m="1" x="321"/>
        <item m="1" x="400"/>
        <item m="1" x="549"/>
        <item m="1" x="487"/>
        <item m="1" x="558"/>
        <item m="1" x="64"/>
        <item m="1" x="505"/>
        <item m="1" x="536"/>
        <item m="1" x="197"/>
        <item m="1" x="19"/>
        <item m="1" x="330"/>
        <item m="1" x="437"/>
        <item m="1" x="307"/>
        <item m="1" x="171"/>
        <item m="1" x="488"/>
        <item m="1" x="117"/>
        <item m="1" x="327"/>
        <item m="1" x="194"/>
        <item m="1" x="74"/>
        <item m="1" x="77"/>
        <item m="1" x="139"/>
        <item m="1" x="325"/>
        <item m="1" x="390"/>
        <item m="1" x="55"/>
        <item m="1" x="268"/>
        <item m="1" x="421"/>
        <item m="1" x="374"/>
        <item m="1" x="448"/>
        <item m="1" x="45"/>
        <item m="1" x="361"/>
        <item m="1" x="380"/>
        <item m="1" x="469"/>
        <item m="1" x="440"/>
        <item m="1" x="332"/>
        <item m="1" x="35"/>
        <item m="1" x="447"/>
        <item m="1" x="98"/>
        <item m="1" x="34"/>
        <item m="1" x="427"/>
        <item m="1" x="475"/>
        <item m="1" x="451"/>
        <item m="1" x="18"/>
        <item m="1" x="379"/>
        <item m="1" x="165"/>
        <item m="1" x="258"/>
        <item m="1" x="370"/>
        <item m="1" x="110"/>
        <item m="1" x="295"/>
        <item m="1" x="147"/>
        <item m="1" x="519"/>
        <item m="1" x="227"/>
        <item m="1" x="312"/>
        <item m="1" x="137"/>
        <item m="1" x="490"/>
        <item m="1" x="119"/>
        <item m="1" x="97"/>
        <item m="1" x="209"/>
        <item m="1" x="61"/>
        <item m="1" x="474"/>
        <item m="1" x="389"/>
        <item m="1" x="562"/>
        <item m="1" x="293"/>
        <item m="1" x="249"/>
        <item m="1" x="24"/>
        <item m="1" x="550"/>
        <item m="1" x="517"/>
        <item m="1" x="191"/>
        <item m="1" x="53"/>
        <item m="1" x="540"/>
        <item m="1" x="356"/>
        <item m="1" x="424"/>
        <item m="1" x="286"/>
        <item m="1" x="207"/>
        <item m="1" x="524"/>
        <item m="1" x="362"/>
        <item m="1" x="30"/>
        <item m="1" x="455"/>
        <item m="1" x="376"/>
        <item m="1" x="199"/>
        <item m="1" x="17"/>
        <item m="1" x="403"/>
        <item m="1" x="267"/>
        <item m="1" x="261"/>
        <item m="1" x="212"/>
        <item m="1" x="73"/>
        <item m="1" x="158"/>
        <item m="1" x="151"/>
        <item m="1" x="203"/>
        <item m="1" x="442"/>
        <item m="1" x="461"/>
        <item m="1" x="246"/>
        <item m="1" x="12"/>
        <item m="1" x="101"/>
        <item m="1" x="236"/>
        <item m="1" x="135"/>
        <item m="1" x="136"/>
        <item m="1" x="523"/>
        <item m="1" x="329"/>
        <item m="1" x="142"/>
        <item m="1" x="371"/>
        <item m="1" x="162"/>
        <item m="1" x="494"/>
        <item m="1" x="467"/>
        <item m="1" x="155"/>
        <item m="1" x="360"/>
        <item m="1" x="154"/>
        <item m="1" x="304"/>
        <item m="1" x="339"/>
        <item m="1" x="349"/>
        <item m="1" x="457"/>
        <item m="1" x="89"/>
        <item m="1" x="114"/>
        <item m="1" x="109"/>
        <item m="1" x="50"/>
        <item m="1" x="496"/>
        <item m="1" x="52"/>
        <item m="1" x="44"/>
        <item m="1" x="222"/>
        <item m="1" x="470"/>
        <item m="1" x="453"/>
        <item m="1" x="425"/>
        <item m="1" x="141"/>
        <item m="1" x="372"/>
        <item m="1" x="290"/>
        <item m="1" x="404"/>
        <item m="1" x="174"/>
        <item m="1" x="213"/>
        <item m="1" x="300"/>
        <item m="1" x="262"/>
        <item m="1" x="204"/>
        <item m="1" x="516"/>
        <item m="1" x="485"/>
        <item m="1" x="367"/>
        <item m="1" x="62"/>
        <item m="1" x="144"/>
        <item m="1" x="264"/>
        <item m="1" x="426"/>
        <item m="1" x="190"/>
        <item m="1" x="152"/>
        <item m="1" x="491"/>
        <item m="1" x="143"/>
        <item m="1" x="396"/>
        <item m="1" x="188"/>
        <item m="1" x="387"/>
        <item m="1" x="6"/>
        <item m="1" x="140"/>
        <item m="1" x="200"/>
        <item m="1" x="344"/>
        <item m="1" x="149"/>
        <item m="1" x="28"/>
        <item m="1" x="458"/>
        <item m="1" x="326"/>
        <item m="1" x="113"/>
        <item m="1" x="254"/>
        <item m="1" x="14"/>
        <item m="1" x="166"/>
        <item m="1" x="182"/>
        <item m="1" x="388"/>
        <item m="1" x="296"/>
        <item m="1" x="291"/>
        <item m="1" x="436"/>
        <item m="1" x="8"/>
        <item m="1" x="384"/>
        <item m="1" x="13"/>
        <item m="1" x="378"/>
        <item m="1" x="548"/>
        <item m="1" x="46"/>
        <item m="1" x="343"/>
        <item m="1" x="36"/>
        <item m="1" x="84"/>
        <item m="1" x="168"/>
        <item m="1" x="41"/>
        <item m="1" x="257"/>
        <item m="1" x="5"/>
        <item m="1" x="231"/>
        <item m="1" x="133"/>
        <item m="1" x="509"/>
        <item m="1" x="123"/>
        <item m="1" x="495"/>
        <item m="1" x="460"/>
        <item m="1" x="504"/>
        <item m="1" x="163"/>
        <item m="1" x="237"/>
        <item m="1" x="173"/>
        <item m="1" x="256"/>
        <item m="1" x="56"/>
        <item m="1" x="468"/>
        <item m="1" x="134"/>
        <item m="1" x="125"/>
        <item m="1" x="278"/>
        <item m="1" x="535"/>
        <item m="1" x="297"/>
        <item m="1" x="498"/>
        <item m="1" x="499"/>
        <item m="1" x="104"/>
        <item m="1" x="551"/>
        <item m="1" x="118"/>
        <item m="1" x="452"/>
        <item m="1" x="462"/>
        <item m="1" x="7"/>
        <item m="1" x="288"/>
        <item m="1" x="428"/>
        <item m="1" x="515"/>
        <item m="1" x="449"/>
        <item m="1" x="225"/>
        <item m="1" x="415"/>
        <item m="1" x="106"/>
        <item m="1" x="292"/>
        <item m="1" x="63"/>
        <item m="1" x="15"/>
        <item m="1" x="393"/>
        <item m="1" x="22"/>
        <item m="1" x="518"/>
        <item m="1" x="282"/>
        <item m="1" x="531"/>
        <item m="1" x="538"/>
        <item m="1" x="31"/>
        <item m="1" x="564"/>
        <item m="1" x="545"/>
        <item m="1" x="386"/>
        <item m="1" x="272"/>
        <item m="1" x="59"/>
        <item m="1" x="223"/>
        <item m="1" x="179"/>
        <item m="1" x="401"/>
        <item m="1" x="473"/>
        <item m="1" x="205"/>
        <item m="1" x="345"/>
        <item m="1" x="58"/>
        <item m="1" x="108"/>
        <item m="1" x="170"/>
        <item m="1" x="38"/>
        <item m="1" x="66"/>
        <item m="1" x="539"/>
        <item m="1" x="500"/>
        <item m="1" x="185"/>
        <item m="1" x="303"/>
        <item m="1" x="323"/>
        <item m="1" x="10"/>
        <item m="1" x="265"/>
        <item m="1" x="274"/>
        <item m="1" x="122"/>
        <item m="1" x="410"/>
        <item m="1" x="463"/>
        <item m="1" x="534"/>
        <item m="1" x="357"/>
        <item m="1" x="561"/>
        <item m="1" x="102"/>
        <item m="1" x="183"/>
        <item m="1" x="459"/>
        <item m="1" x="103"/>
        <item m="1" x="492"/>
        <item m="1" x="486"/>
        <item m="1" x="482"/>
        <item m="1" x="394"/>
        <item m="1" x="301"/>
        <item m="1" x="285"/>
        <item m="1" x="373"/>
        <item m="1" x="120"/>
        <item m="1" x="92"/>
        <item m="1" x="302"/>
        <item m="1" x="259"/>
        <item m="1" x="352"/>
        <item m="1" x="317"/>
        <item m="1" x="78"/>
        <item m="1" x="497"/>
        <item m="1" x="210"/>
        <item m="1" x="131"/>
        <item m="1" x="208"/>
        <item m="1" x="354"/>
        <item m="1" x="4"/>
        <item m="1" x="43"/>
        <item m="1" x="543"/>
        <item m="1" x="178"/>
        <item m="1" x="418"/>
        <item m="1" x="431"/>
        <item m="1" x="65"/>
        <item m="1" x="248"/>
        <item m="1" x="399"/>
        <item m="1" x="511"/>
        <item m="1" x="129"/>
        <item m="1" x="435"/>
        <item m="1" x="217"/>
        <item m="1" x="95"/>
        <item m="1" x="533"/>
        <item m="1" x="530"/>
        <item m="1" x="311"/>
        <item m="1" x="126"/>
        <item m="1" x="229"/>
        <item m="1" x="3"/>
        <item m="1" x="23"/>
        <item m="1" x="395"/>
        <item m="1" x="471"/>
        <item m="1" x="392"/>
        <item m="1" x="146"/>
        <item m="1" x="128"/>
        <item m="1" x="502"/>
        <item m="1" x="57"/>
        <item m="1" x="221"/>
        <item m="1" x="432"/>
        <item m="1" x="202"/>
        <item m="1" x="169"/>
        <item m="1" x="353"/>
        <item m="1" x="556"/>
        <item m="1" x="563"/>
        <item m="1" x="281"/>
        <item m="1" x="526"/>
        <item m="1" x="334"/>
        <item m="1" x="385"/>
        <item m="1" x="172"/>
        <item m="1" x="159"/>
        <item m="1" x="318"/>
        <item m="1" x="27"/>
        <item m="1" x="100"/>
        <item m="1" x="71"/>
        <item m="1" x="383"/>
        <item m="1" x="96"/>
        <item m="1" x="406"/>
        <item m="1" x="283"/>
        <item m="1" x="365"/>
        <item m="1" x="513"/>
        <item m="1" x="477"/>
        <item x="0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0"/>
        <item m="1" x="1"/>
        <item m="1" x="3"/>
        <item m="1" x="2"/>
        <item t="default"/>
      </items>
    </pivotField>
    <pivotField compact="0" outline="0" subtotalTop="0" showAll="0" includeNewItemsInFilter="1" defaultSubtotal="0"/>
  </pivotFields>
  <rowFields count="3">
    <field x="8"/>
    <field x="5"/>
    <field x="6"/>
  </rowFields>
  <rowItems count="4">
    <i>
      <x/>
      <x v="189"/>
      <x v="564"/>
    </i>
    <i t="default" r="1">
      <x v="189"/>
    </i>
    <i t="default">
      <x/>
    </i>
    <i t="grand">
      <x/>
    </i>
  </rowItems>
  <colFields count="1">
    <field x="11"/>
  </colFields>
  <colItems count="2">
    <i>
      <x/>
    </i>
    <i t="grand">
      <x/>
    </i>
  </colItems>
  <dataFields count="1">
    <dataField name="Count of AuditItem Id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Sheet"/>
  <dimension ref="A1:J52"/>
  <sheetViews>
    <sheetView tabSelected="1" zoomScale="85" zoomScaleNormal="85" workbookViewId="0">
      <selection activeCell="B23" sqref="B23"/>
    </sheetView>
  </sheetViews>
  <sheetFormatPr defaultRowHeight="14.25" x14ac:dyDescent="0.45"/>
  <cols>
    <col min="1" max="1" width="22.53125" customWidth="1"/>
    <col min="2" max="2" width="54.33203125" customWidth="1"/>
    <col min="3" max="3" width="17" customWidth="1"/>
    <col min="4" max="4" width="36.53125" customWidth="1"/>
    <col min="5" max="5" width="24.86328125" customWidth="1"/>
    <col min="9" max="9" width="33.53125" bestFit="1" customWidth="1"/>
  </cols>
  <sheetData>
    <row r="1" spans="1:10" x14ac:dyDescent="0.45">
      <c r="A1" s="4" t="s">
        <v>38</v>
      </c>
    </row>
    <row r="2" spans="1:10" ht="17.649999999999999" x14ac:dyDescent="0.45">
      <c r="B2" s="29"/>
      <c r="C2" s="29"/>
    </row>
    <row r="3" spans="1:10" ht="15.4" x14ac:dyDescent="0.45">
      <c r="A3" s="3" t="s">
        <v>39</v>
      </c>
      <c r="B3" s="64"/>
      <c r="C3" s="4" t="s">
        <v>0</v>
      </c>
      <c r="D3" s="1"/>
      <c r="E3" s="1"/>
      <c r="F3" s="1"/>
      <c r="G3" s="1"/>
    </row>
    <row r="4" spans="1:10" ht="29.25" customHeight="1" x14ac:dyDescent="0.45">
      <c r="B4" s="68" t="s">
        <v>57</v>
      </c>
      <c r="C4" s="68"/>
      <c r="D4" s="68"/>
      <c r="E4" s="68"/>
      <c r="F4" s="1"/>
      <c r="G4" s="1"/>
    </row>
    <row r="5" spans="1:10" hidden="1" x14ac:dyDescent="0.45">
      <c r="A5" t="s">
        <v>1</v>
      </c>
      <c r="B5" s="2" t="s">
        <v>54</v>
      </c>
      <c r="C5" t="s">
        <v>55</v>
      </c>
      <c r="D5" s="26" t="s">
        <v>56</v>
      </c>
    </row>
    <row r="6" spans="1:10" ht="47.25" customHeight="1" thickBot="1" x14ac:dyDescent="0.55000000000000004">
      <c r="A6" s="7" t="s">
        <v>5</v>
      </c>
      <c r="B6" s="19" t="s">
        <v>35</v>
      </c>
      <c r="C6" s="19" t="s">
        <v>36</v>
      </c>
      <c r="D6" s="68" t="s">
        <v>40</v>
      </c>
      <c r="E6" s="68"/>
      <c r="F6" s="68"/>
    </row>
    <row r="7" spans="1:10" ht="14.65" thickTop="1" x14ac:dyDescent="0.45">
      <c r="A7" s="6" t="s">
        <v>53</v>
      </c>
      <c r="B7" s="22" t="s">
        <v>21</v>
      </c>
      <c r="C7" s="48"/>
      <c r="D7" s="4" t="s">
        <v>46</v>
      </c>
    </row>
    <row r="8" spans="1:10" x14ac:dyDescent="0.45">
      <c r="A8" s="6" t="s">
        <v>50</v>
      </c>
      <c r="B8" s="22"/>
      <c r="C8" s="22"/>
      <c r="D8" s="4" t="s">
        <v>46</v>
      </c>
    </row>
    <row r="9" spans="1:10" x14ac:dyDescent="0.45">
      <c r="A9" s="6" t="s">
        <v>6</v>
      </c>
      <c r="B9" s="22" t="s">
        <v>10</v>
      </c>
      <c r="C9" s="22"/>
      <c r="D9" s="4" t="s">
        <v>47</v>
      </c>
      <c r="I9" s="38"/>
      <c r="J9" s="37"/>
    </row>
    <row r="10" spans="1:10" x14ac:dyDescent="0.45">
      <c r="A10" s="6" t="s">
        <v>51</v>
      </c>
      <c r="B10" s="31" t="s">
        <v>10</v>
      </c>
      <c r="C10" s="22" t="s">
        <v>13</v>
      </c>
      <c r="D10" s="4" t="s">
        <v>47</v>
      </c>
      <c r="I10" s="38"/>
    </row>
    <row r="11" spans="1:10" x14ac:dyDescent="0.45">
      <c r="A11" s="6" t="s">
        <v>52</v>
      </c>
      <c r="B11" s="31" t="s">
        <v>10</v>
      </c>
      <c r="C11" s="22"/>
      <c r="D11" s="4" t="s">
        <v>47</v>
      </c>
      <c r="G11" s="1"/>
    </row>
    <row r="12" spans="1:10" x14ac:dyDescent="0.45">
      <c r="A12" s="6"/>
      <c r="C12" s="4"/>
      <c r="D12" s="4"/>
    </row>
    <row r="13" spans="1:10" x14ac:dyDescent="0.45">
      <c r="A13" s="6"/>
      <c r="C13" s="4"/>
      <c r="D13" s="4"/>
    </row>
    <row r="14" spans="1:10" ht="17.25" thickBot="1" x14ac:dyDescent="0.55000000000000004">
      <c r="A14" s="7" t="s">
        <v>68</v>
      </c>
      <c r="B14" s="19" t="s">
        <v>35</v>
      </c>
      <c r="C14" s="19" t="s">
        <v>36</v>
      </c>
      <c r="D14" s="68"/>
      <c r="E14" s="68"/>
      <c r="F14" s="68"/>
    </row>
    <row r="15" spans="1:10" ht="14.65" thickTop="1" x14ac:dyDescent="0.45">
      <c r="A15" s="6" t="s">
        <v>69</v>
      </c>
      <c r="B15" s="31" t="s">
        <v>10</v>
      </c>
      <c r="C15" s="48">
        <v>43161</v>
      </c>
      <c r="D15" s="4" t="s">
        <v>46</v>
      </c>
      <c r="I15" s="38"/>
    </row>
    <row r="16" spans="1:10" x14ac:dyDescent="0.45">
      <c r="A16" s="6" t="s">
        <v>70</v>
      </c>
      <c r="B16" s="31" t="s">
        <v>10</v>
      </c>
      <c r="C16" s="48">
        <v>43161</v>
      </c>
      <c r="D16" s="4" t="s">
        <v>46</v>
      </c>
      <c r="I16" s="38"/>
    </row>
    <row r="17" spans="1:5" x14ac:dyDescent="0.45">
      <c r="A17" s="33" t="s">
        <v>71</v>
      </c>
      <c r="B17" s="34"/>
      <c r="C17" s="22"/>
      <c r="D17" s="4"/>
    </row>
    <row r="18" spans="1:5" x14ac:dyDescent="0.45">
      <c r="A18" s="6"/>
      <c r="D18" s="4"/>
    </row>
    <row r="20" spans="1:5" x14ac:dyDescent="0.45">
      <c r="D20" s="20"/>
      <c r="E20" s="4" t="s">
        <v>48</v>
      </c>
    </row>
    <row r="21" spans="1:5" x14ac:dyDescent="0.45">
      <c r="D21" s="21"/>
      <c r="E21" s="4" t="s">
        <v>58</v>
      </c>
    </row>
    <row r="22" spans="1:5" x14ac:dyDescent="0.45">
      <c r="D22" s="21"/>
      <c r="E22" s="4" t="s">
        <v>59</v>
      </c>
    </row>
    <row r="23" spans="1:5" ht="17.25" thickBot="1" x14ac:dyDescent="0.55000000000000004">
      <c r="A23" s="15" t="s">
        <v>4</v>
      </c>
      <c r="B23" s="15"/>
      <c r="C23" s="18"/>
      <c r="D23" s="57">
        <f>out_DataLoadedFinishedDate-out_DataLoadedDate</f>
        <v>0</v>
      </c>
      <c r="E23" s="56" t="s">
        <v>87</v>
      </c>
    </row>
    <row r="24" spans="1:5" ht="15" hidden="1" thickTop="1" thickBot="1" x14ac:dyDescent="0.5">
      <c r="A24" s="5" t="s">
        <v>45</v>
      </c>
      <c r="B24" s="16"/>
      <c r="C24" s="17"/>
      <c r="D24" s="58"/>
    </row>
    <row r="25" spans="1:5" ht="15" thickTop="1" thickBot="1" x14ac:dyDescent="0.5">
      <c r="A25" s="5" t="s">
        <v>2</v>
      </c>
      <c r="B25" s="28" t="s">
        <v>98</v>
      </c>
      <c r="D25" s="59" t="e">
        <f>COUNTA(AuditProperties!A:A)/(D23*1440)</f>
        <v>#DIV/0!</v>
      </c>
      <c r="E25" s="56" t="s">
        <v>88</v>
      </c>
    </row>
    <row r="26" spans="1:5" ht="14.65" thickBot="1" x14ac:dyDescent="0.5">
      <c r="A26" s="5" t="s">
        <v>3</v>
      </c>
      <c r="B26" s="27" t="s">
        <v>99</v>
      </c>
    </row>
    <row r="28" spans="1:5" x14ac:dyDescent="0.45">
      <c r="A28" s="6"/>
    </row>
    <row r="30" spans="1:5" x14ac:dyDescent="0.45">
      <c r="A30" s="32">
        <f ca="1">NOW()</f>
        <v>43270.617826041664</v>
      </c>
      <c r="B30" t="s">
        <v>72</v>
      </c>
    </row>
    <row r="45" spans="1:5" ht="28.5" hidden="1" x14ac:dyDescent="0.85">
      <c r="A45" s="67" t="s">
        <v>30</v>
      </c>
      <c r="B45" s="67"/>
      <c r="C45" s="67"/>
      <c r="D45" s="67"/>
      <c r="E45" s="67"/>
    </row>
    <row r="46" spans="1:5" hidden="1" x14ac:dyDescent="0.4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45">
      <c r="A47" s="13"/>
      <c r="B47" s="13"/>
      <c r="C47" s="13"/>
      <c r="D47" s="13"/>
      <c r="E47" s="13"/>
    </row>
    <row r="48" spans="1:5" hidden="1" x14ac:dyDescent="0.4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4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45">
      <c r="A50" s="13" t="s">
        <v>10</v>
      </c>
      <c r="B50" s="13"/>
      <c r="C50" s="13"/>
      <c r="D50" s="13"/>
      <c r="E50" s="13" t="s">
        <v>17</v>
      </c>
    </row>
    <row r="51" spans="1:5" hidden="1" x14ac:dyDescent="0.45">
      <c r="A51" s="13" t="s">
        <v>11</v>
      </c>
      <c r="B51" s="13"/>
      <c r="C51" s="13"/>
      <c r="D51" s="13"/>
      <c r="E51" s="13" t="s">
        <v>18</v>
      </c>
    </row>
    <row r="52" spans="1:5" hidden="1" x14ac:dyDescent="0.45">
      <c r="A52" s="13"/>
      <c r="B52" s="13"/>
      <c r="C52" s="13"/>
      <c r="D52" s="13"/>
      <c r="E52" s="13" t="s">
        <v>19</v>
      </c>
    </row>
  </sheetData>
  <sheetCalcPr fullCalcOnLoad="1"/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>
      <formula1>36526</formula1>
      <formula2>73051</formula2>
    </dataValidation>
    <dataValidation type="list" allowBlank="1" showInputMessage="1" showErrorMessage="1" sqref="B7:B8">
      <formula1>$A$47:$A$51</formula1>
    </dataValidation>
    <dataValidation type="list" showInputMessage="1" showErrorMessage="1" sqref="B10:B13 B15:B18">
      <formula1>$B$48</formula1>
    </dataValidation>
    <dataValidation type="list" allowBlank="1" showInputMessage="1" showErrorMessage="1" sqref="C10:C11 C17">
      <formula1>$C$47:$C$49</formula1>
    </dataValidation>
    <dataValidation type="list" allowBlank="1" showInputMessage="1" showErrorMessage="1" sqref="C9">
      <formula1>$E$47:$E$52</formula1>
    </dataValidation>
    <dataValidation type="list" allowBlank="1" showInputMessage="1" showErrorMessage="1" sqref="B9">
      <formula1>$D$47:$D$49</formula1>
    </dataValidation>
  </dataValidations>
  <hyperlinks>
    <hyperlink ref="B5" r:id="rId1"/>
    <hyperlink ref="D5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61913</xdr:colOff>
                    <xdr:row>27</xdr:row>
                    <xdr:rowOff>28575</xdr:rowOff>
                  </from>
                  <to>
                    <xdr:col>1</xdr:col>
                    <xdr:colOff>0</xdr:colOff>
                    <xdr:row>28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2595563</xdr:colOff>
                    <xdr:row>5</xdr:row>
                    <xdr:rowOff>590550</xdr:rowOff>
                  </from>
                  <to>
                    <xdr:col>6</xdr:col>
                    <xdr:colOff>642938</xdr:colOff>
                    <xdr:row>7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2605088</xdr:colOff>
                    <xdr:row>14</xdr:row>
                    <xdr:rowOff>9525</xdr:rowOff>
                  </from>
                  <to>
                    <xdr:col>7</xdr:col>
                    <xdr:colOff>4763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4763</xdr:rowOff>
                  </from>
                  <to>
                    <xdr:col>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eldsSheet"/>
  <dimension ref="A1:J124"/>
  <sheetViews>
    <sheetView zoomScale="127" workbookViewId="0"/>
  </sheetViews>
  <sheetFormatPr defaultRowHeight="14.25" x14ac:dyDescent="0.45"/>
  <cols>
    <col min="1" max="1" width="25.1328125" customWidth="1"/>
    <col min="2" max="2" width="10" customWidth="1"/>
    <col min="3" max="4" width="35.46484375" style="8" customWidth="1"/>
    <col min="5" max="5" width="31.53125" customWidth="1"/>
    <col min="6" max="6" width="21.1328125" style="25" customWidth="1"/>
    <col min="7" max="7" width="36.86328125" customWidth="1"/>
    <col min="8" max="10" width="0" hidden="1" customWidth="1"/>
  </cols>
  <sheetData>
    <row r="1" spans="1:10" ht="63" customHeight="1" thickBot="1" x14ac:dyDescent="0.5">
      <c r="A1" s="10" t="s">
        <v>43</v>
      </c>
      <c r="B1" s="10" t="s">
        <v>22</v>
      </c>
      <c r="C1" s="11" t="s">
        <v>24</v>
      </c>
      <c r="D1" s="11" t="s">
        <v>49</v>
      </c>
      <c r="E1" s="11" t="s">
        <v>44</v>
      </c>
      <c r="F1" s="23" t="s">
        <v>37</v>
      </c>
      <c r="G1" s="12" t="s">
        <v>41</v>
      </c>
      <c r="H1" t="s">
        <v>13</v>
      </c>
      <c r="I1" t="s">
        <v>14</v>
      </c>
      <c r="J1" s="4" t="s">
        <v>31</v>
      </c>
    </row>
    <row r="2" spans="1:10" s="8" customFormat="1" x14ac:dyDescent="0.45">
      <c r="F2" s="24"/>
    </row>
    <row r="3" spans="1:10" s="8" customFormat="1" x14ac:dyDescent="0.45">
      <c r="F3" s="24"/>
    </row>
    <row r="4" spans="1:10" s="8" customFormat="1" x14ac:dyDescent="0.45">
      <c r="F4" s="24"/>
    </row>
    <row r="5" spans="1:10" s="8" customFormat="1" x14ac:dyDescent="0.45">
      <c r="F5" s="24"/>
    </row>
    <row r="6" spans="1:10" s="8" customFormat="1" x14ac:dyDescent="0.45">
      <c r="F6" s="24"/>
    </row>
    <row r="7" spans="1:10" s="8" customFormat="1" x14ac:dyDescent="0.45">
      <c r="F7" s="24"/>
    </row>
    <row r="8" spans="1:10" s="8" customFormat="1" x14ac:dyDescent="0.45">
      <c r="F8" s="24"/>
    </row>
    <row r="9" spans="1:10" s="8" customFormat="1" x14ac:dyDescent="0.45">
      <c r="F9" s="24"/>
    </row>
    <row r="10" spans="1:10" s="8" customFormat="1" x14ac:dyDescent="0.45">
      <c r="F10" s="24"/>
    </row>
    <row r="11" spans="1:10" s="8" customFormat="1" x14ac:dyDescent="0.45">
      <c r="F11" s="24"/>
    </row>
    <row r="12" spans="1:10" s="8" customFormat="1" x14ac:dyDescent="0.45">
      <c r="F12" s="24"/>
    </row>
    <row r="13" spans="1:10" s="8" customFormat="1" x14ac:dyDescent="0.45">
      <c r="F13" s="24"/>
    </row>
    <row r="14" spans="1:10" s="8" customFormat="1" x14ac:dyDescent="0.45">
      <c r="F14" s="24"/>
    </row>
    <row r="15" spans="1:10" s="8" customFormat="1" x14ac:dyDescent="0.45">
      <c r="F15" s="24"/>
    </row>
    <row r="16" spans="1:10" s="8" customFormat="1" x14ac:dyDescent="0.45">
      <c r="C16" s="36"/>
      <c r="F16" s="24"/>
    </row>
    <row r="17" spans="1:7" s="8" customFormat="1" x14ac:dyDescent="0.45">
      <c r="F17" s="24"/>
    </row>
    <row r="18" spans="1:7" x14ac:dyDescent="0.45">
      <c r="A18" s="8"/>
      <c r="B18" s="8"/>
      <c r="E18" s="8"/>
      <c r="F18" s="24"/>
      <c r="G18" s="8"/>
    </row>
    <row r="19" spans="1:7" x14ac:dyDescent="0.45">
      <c r="A19" s="8"/>
      <c r="B19" s="8"/>
      <c r="E19" s="8"/>
      <c r="F19" s="24"/>
      <c r="G19" s="8"/>
    </row>
    <row r="20" spans="1:7" x14ac:dyDescent="0.45">
      <c r="A20" s="8"/>
      <c r="B20" s="8"/>
      <c r="E20" s="8"/>
      <c r="F20" s="24"/>
      <c r="G20" s="8"/>
    </row>
    <row r="21" spans="1:7" x14ac:dyDescent="0.45">
      <c r="A21" s="8"/>
      <c r="B21" s="8"/>
      <c r="E21" s="8"/>
      <c r="F21" s="24"/>
      <c r="G21" s="8"/>
    </row>
    <row r="22" spans="1:7" x14ac:dyDescent="0.45">
      <c r="A22" s="8"/>
      <c r="B22" s="8"/>
      <c r="E22" s="8"/>
      <c r="F22" s="24"/>
      <c r="G22" s="8"/>
    </row>
    <row r="23" spans="1:7" x14ac:dyDescent="0.45">
      <c r="A23" s="8"/>
      <c r="B23" s="8"/>
      <c r="E23" s="8"/>
      <c r="F23" s="24"/>
      <c r="G23" s="8"/>
    </row>
    <row r="24" spans="1:7" x14ac:dyDescent="0.45">
      <c r="A24" s="8"/>
      <c r="B24" s="8"/>
      <c r="E24" s="8"/>
      <c r="F24" s="24"/>
      <c r="G24" s="8"/>
    </row>
    <row r="25" spans="1:7" x14ac:dyDescent="0.45">
      <c r="A25" s="8"/>
      <c r="B25" s="8"/>
      <c r="E25" s="8"/>
      <c r="F25" s="24"/>
      <c r="G25" s="8"/>
    </row>
    <row r="26" spans="1:7" x14ac:dyDescent="0.45">
      <c r="A26" s="8"/>
      <c r="B26" s="8"/>
      <c r="E26" s="8"/>
      <c r="F26" s="24"/>
      <c r="G26" s="8"/>
    </row>
    <row r="27" spans="1:7" x14ac:dyDescent="0.45">
      <c r="A27" s="8"/>
      <c r="B27" s="8"/>
      <c r="E27" s="8"/>
      <c r="F27" s="24"/>
      <c r="G27" s="8"/>
    </row>
    <row r="28" spans="1:7" x14ac:dyDescent="0.45">
      <c r="A28" s="8"/>
      <c r="B28" s="8"/>
      <c r="E28" s="8"/>
      <c r="F28" s="24"/>
      <c r="G28" s="8"/>
    </row>
    <row r="29" spans="1:7" x14ac:dyDescent="0.45">
      <c r="A29" s="8"/>
      <c r="B29" s="8"/>
      <c r="E29" s="8"/>
      <c r="F29" s="24"/>
      <c r="G29" s="8"/>
    </row>
    <row r="30" spans="1:7" x14ac:dyDescent="0.45">
      <c r="A30" s="8"/>
      <c r="B30" s="8"/>
      <c r="E30" s="8"/>
      <c r="F30" s="24"/>
      <c r="G30" s="8"/>
    </row>
    <row r="31" spans="1:7" x14ac:dyDescent="0.45">
      <c r="A31" s="8"/>
      <c r="B31" s="8"/>
      <c r="E31" s="8"/>
      <c r="F31" s="24"/>
      <c r="G31" s="8"/>
    </row>
    <row r="32" spans="1:7" x14ac:dyDescent="0.45">
      <c r="A32" s="8"/>
      <c r="B32" s="8"/>
      <c r="E32" s="8"/>
      <c r="F32" s="24"/>
      <c r="G32" s="8"/>
    </row>
    <row r="33" spans="1:7" x14ac:dyDescent="0.45">
      <c r="A33" s="8"/>
      <c r="B33" s="8"/>
      <c r="E33" s="8"/>
      <c r="F33" s="24"/>
      <c r="G33" s="8"/>
    </row>
    <row r="34" spans="1:7" x14ac:dyDescent="0.45">
      <c r="A34" s="8"/>
      <c r="B34" s="8"/>
      <c r="E34" s="8"/>
      <c r="F34" s="24"/>
      <c r="G34" s="8"/>
    </row>
    <row r="35" spans="1:7" x14ac:dyDescent="0.45">
      <c r="A35" s="8"/>
      <c r="B35" s="8"/>
      <c r="E35" s="8"/>
      <c r="F35" s="24"/>
      <c r="G35" s="8"/>
    </row>
    <row r="36" spans="1:7" x14ac:dyDescent="0.45">
      <c r="A36" s="8"/>
      <c r="B36" s="8"/>
      <c r="E36" s="8"/>
      <c r="F36" s="24"/>
      <c r="G36" s="8"/>
    </row>
    <row r="37" spans="1:7" x14ac:dyDescent="0.45">
      <c r="A37" s="8"/>
      <c r="B37" s="8"/>
      <c r="E37" s="8"/>
      <c r="F37" s="24"/>
      <c r="G37" s="8"/>
    </row>
    <row r="38" spans="1:7" x14ac:dyDescent="0.45">
      <c r="A38" s="8"/>
      <c r="B38" s="8"/>
      <c r="E38" s="8"/>
      <c r="F38" s="24"/>
      <c r="G38" s="8"/>
    </row>
    <row r="39" spans="1:7" x14ac:dyDescent="0.45">
      <c r="A39" s="8"/>
      <c r="B39" s="8"/>
      <c r="E39" s="8"/>
      <c r="F39" s="24"/>
      <c r="G39" s="8"/>
    </row>
    <row r="40" spans="1:7" x14ac:dyDescent="0.45">
      <c r="A40" s="8"/>
      <c r="B40" s="8"/>
      <c r="E40" s="8"/>
      <c r="F40" s="24"/>
      <c r="G40" s="8"/>
    </row>
    <row r="41" spans="1:7" x14ac:dyDescent="0.45">
      <c r="A41" s="8"/>
      <c r="B41" s="8"/>
      <c r="E41" s="8"/>
      <c r="F41" s="24"/>
      <c r="G41" s="8"/>
    </row>
    <row r="42" spans="1:7" x14ac:dyDescent="0.45">
      <c r="A42" s="8"/>
      <c r="B42" s="8"/>
      <c r="E42" s="8"/>
      <c r="F42" s="24"/>
      <c r="G42" s="8"/>
    </row>
    <row r="43" spans="1:7" x14ac:dyDescent="0.45">
      <c r="A43" s="8"/>
      <c r="B43" s="8"/>
      <c r="E43" s="8"/>
      <c r="F43" s="24"/>
      <c r="G43" s="8"/>
    </row>
    <row r="44" spans="1:7" x14ac:dyDescent="0.45">
      <c r="A44" s="8"/>
      <c r="B44" s="8"/>
      <c r="E44" s="8"/>
      <c r="F44" s="24"/>
      <c r="G44" s="8"/>
    </row>
    <row r="45" spans="1:7" x14ac:dyDescent="0.45">
      <c r="A45" s="8"/>
      <c r="B45" s="8"/>
      <c r="E45" s="8"/>
      <c r="F45" s="24"/>
      <c r="G45" s="8"/>
    </row>
    <row r="46" spans="1:7" x14ac:dyDescent="0.45">
      <c r="A46" s="8"/>
      <c r="B46" s="8"/>
      <c r="E46" s="8"/>
      <c r="F46" s="24"/>
      <c r="G46" s="8"/>
    </row>
    <row r="47" spans="1:7" x14ac:dyDescent="0.45">
      <c r="A47" s="8"/>
      <c r="B47" s="8"/>
      <c r="E47" s="8"/>
      <c r="F47" s="24"/>
      <c r="G47" s="8"/>
    </row>
    <row r="48" spans="1:7" x14ac:dyDescent="0.45">
      <c r="A48" s="8"/>
      <c r="B48" s="8"/>
      <c r="E48" s="8"/>
      <c r="F48" s="24"/>
      <c r="G48" s="8"/>
    </row>
    <row r="49" spans="1:7" x14ac:dyDescent="0.45">
      <c r="A49" s="8"/>
      <c r="B49" s="8"/>
      <c r="E49" s="8"/>
      <c r="F49" s="24"/>
      <c r="G49" s="8"/>
    </row>
    <row r="50" spans="1:7" x14ac:dyDescent="0.45">
      <c r="A50" s="8"/>
      <c r="B50" s="8"/>
      <c r="E50" s="8"/>
      <c r="F50" s="24"/>
      <c r="G50" s="8"/>
    </row>
    <row r="51" spans="1:7" x14ac:dyDescent="0.45">
      <c r="A51" s="8"/>
      <c r="B51" s="8"/>
      <c r="E51" s="8"/>
      <c r="F51" s="24"/>
      <c r="G51" s="8"/>
    </row>
    <row r="52" spans="1:7" x14ac:dyDescent="0.45">
      <c r="A52" s="8"/>
      <c r="B52" s="8"/>
      <c r="E52" s="8"/>
      <c r="F52" s="24"/>
      <c r="G52" s="8"/>
    </row>
    <row r="53" spans="1:7" x14ac:dyDescent="0.45">
      <c r="A53" s="8"/>
      <c r="B53" s="8"/>
      <c r="E53" s="8"/>
      <c r="F53" s="24"/>
      <c r="G53" s="8"/>
    </row>
    <row r="54" spans="1:7" x14ac:dyDescent="0.45">
      <c r="A54" s="8"/>
      <c r="B54" s="8"/>
      <c r="E54" s="8"/>
      <c r="F54" s="24"/>
      <c r="G54" s="8"/>
    </row>
    <row r="55" spans="1:7" x14ac:dyDescent="0.45">
      <c r="A55" s="8"/>
      <c r="B55" s="8"/>
      <c r="E55" s="8"/>
      <c r="F55" s="24"/>
      <c r="G55" s="8"/>
    </row>
    <row r="56" spans="1:7" x14ac:dyDescent="0.45">
      <c r="A56" s="8"/>
      <c r="B56" s="8"/>
      <c r="E56" s="8"/>
      <c r="F56" s="24"/>
      <c r="G56" s="8"/>
    </row>
    <row r="57" spans="1:7" x14ac:dyDescent="0.45">
      <c r="A57" s="8"/>
      <c r="B57" s="8"/>
      <c r="E57" s="8"/>
      <c r="F57" s="24"/>
      <c r="G57" s="8"/>
    </row>
    <row r="58" spans="1:7" x14ac:dyDescent="0.45">
      <c r="A58" s="8"/>
      <c r="B58" s="8"/>
      <c r="E58" s="8"/>
      <c r="F58" s="24"/>
      <c r="G58" s="8"/>
    </row>
    <row r="59" spans="1:7" x14ac:dyDescent="0.45">
      <c r="A59" s="8"/>
      <c r="B59" s="8"/>
      <c r="E59" s="8"/>
      <c r="F59" s="24"/>
      <c r="G59" s="8"/>
    </row>
    <row r="60" spans="1:7" x14ac:dyDescent="0.45">
      <c r="A60" s="8"/>
      <c r="B60" s="8"/>
      <c r="E60" s="8"/>
      <c r="F60" s="24"/>
      <c r="G60" s="8"/>
    </row>
    <row r="61" spans="1:7" x14ac:dyDescent="0.45">
      <c r="A61" s="8"/>
      <c r="B61" s="8"/>
      <c r="E61" s="8"/>
      <c r="F61" s="24"/>
      <c r="G61" s="8"/>
    </row>
    <row r="62" spans="1:7" x14ac:dyDescent="0.45">
      <c r="A62" s="8"/>
      <c r="B62" s="8"/>
      <c r="E62" s="8"/>
      <c r="F62" s="24"/>
      <c r="G62" s="8"/>
    </row>
    <row r="63" spans="1:7" x14ac:dyDescent="0.45">
      <c r="A63" s="8"/>
      <c r="B63" s="8"/>
      <c r="E63" s="8"/>
      <c r="F63" s="24"/>
      <c r="G63" s="8"/>
    </row>
    <row r="64" spans="1:7" x14ac:dyDescent="0.45">
      <c r="A64" s="8"/>
      <c r="B64" s="8"/>
      <c r="E64" s="8"/>
      <c r="F64" s="24"/>
      <c r="G64" s="8"/>
    </row>
    <row r="65" spans="1:7" x14ac:dyDescent="0.45">
      <c r="A65" s="8"/>
      <c r="B65" s="8"/>
      <c r="E65" s="8"/>
      <c r="F65" s="24"/>
      <c r="G65" s="8"/>
    </row>
    <row r="66" spans="1:7" x14ac:dyDescent="0.45">
      <c r="A66" s="8"/>
      <c r="B66" s="8"/>
      <c r="E66" s="8"/>
      <c r="F66" s="24"/>
      <c r="G66" s="8"/>
    </row>
    <row r="67" spans="1:7" x14ac:dyDescent="0.45">
      <c r="A67" s="8"/>
      <c r="B67" s="8"/>
      <c r="E67" s="8"/>
      <c r="F67" s="24"/>
      <c r="G67" s="8"/>
    </row>
    <row r="68" spans="1:7" x14ac:dyDescent="0.45">
      <c r="A68" s="8"/>
      <c r="B68" s="8"/>
      <c r="E68" s="8"/>
      <c r="F68" s="24"/>
      <c r="G68" s="8"/>
    </row>
    <row r="69" spans="1:7" x14ac:dyDescent="0.45">
      <c r="A69" s="8"/>
      <c r="B69" s="8"/>
      <c r="E69" s="8"/>
      <c r="F69" s="24"/>
      <c r="G69" s="8"/>
    </row>
    <row r="70" spans="1:7" x14ac:dyDescent="0.45">
      <c r="A70" s="8"/>
      <c r="B70" s="8"/>
      <c r="E70" s="8"/>
      <c r="F70" s="24"/>
      <c r="G70" s="8"/>
    </row>
    <row r="71" spans="1:7" x14ac:dyDescent="0.45">
      <c r="A71" s="8"/>
      <c r="B71" s="8"/>
      <c r="E71" s="8"/>
      <c r="F71" s="24"/>
      <c r="G71" s="8"/>
    </row>
    <row r="72" spans="1:7" x14ac:dyDescent="0.45">
      <c r="A72" s="8"/>
      <c r="B72" s="8"/>
      <c r="E72" s="8"/>
      <c r="F72" s="24"/>
      <c r="G72" s="8"/>
    </row>
    <row r="73" spans="1:7" x14ac:dyDescent="0.45">
      <c r="A73" s="8"/>
      <c r="B73" s="8"/>
      <c r="E73" s="8"/>
      <c r="F73" s="24"/>
      <c r="G73" s="8"/>
    </row>
    <row r="74" spans="1:7" x14ac:dyDescent="0.45">
      <c r="A74" s="8"/>
      <c r="B74" s="8"/>
      <c r="E74" s="8"/>
      <c r="F74" s="24"/>
      <c r="G74" s="8"/>
    </row>
    <row r="75" spans="1:7" x14ac:dyDescent="0.45">
      <c r="A75" s="8"/>
      <c r="B75" s="8"/>
      <c r="E75" s="8"/>
      <c r="F75" s="24"/>
      <c r="G75" s="8"/>
    </row>
    <row r="76" spans="1:7" x14ac:dyDescent="0.45">
      <c r="A76" s="8"/>
      <c r="B76" s="8"/>
      <c r="E76" s="8"/>
      <c r="F76" s="24"/>
      <c r="G76" s="8"/>
    </row>
    <row r="77" spans="1:7" x14ac:dyDescent="0.45">
      <c r="A77" s="8"/>
      <c r="B77" s="8"/>
      <c r="E77" s="8"/>
      <c r="F77" s="24"/>
      <c r="G77" s="8"/>
    </row>
    <row r="78" spans="1:7" x14ac:dyDescent="0.45">
      <c r="A78" s="8"/>
      <c r="B78" s="8"/>
      <c r="E78" s="8"/>
      <c r="F78" s="24"/>
      <c r="G78" s="8"/>
    </row>
    <row r="79" spans="1:7" x14ac:dyDescent="0.45">
      <c r="A79" s="8"/>
      <c r="B79" s="8"/>
      <c r="E79" s="8"/>
      <c r="F79" s="24"/>
      <c r="G79" s="8"/>
    </row>
    <row r="80" spans="1:7" x14ac:dyDescent="0.45">
      <c r="A80" s="8"/>
      <c r="B80" s="8"/>
      <c r="E80" s="8"/>
      <c r="F80" s="24"/>
      <c r="G80" s="8"/>
    </row>
    <row r="81" spans="1:7" x14ac:dyDescent="0.45">
      <c r="A81" s="8"/>
      <c r="B81" s="8"/>
      <c r="E81" s="8"/>
      <c r="F81" s="24"/>
      <c r="G81" s="8"/>
    </row>
    <row r="82" spans="1:7" x14ac:dyDescent="0.45">
      <c r="A82" s="8"/>
      <c r="B82" s="8"/>
      <c r="E82" s="8"/>
      <c r="F82" s="24"/>
      <c r="G82" s="8"/>
    </row>
    <row r="83" spans="1:7" x14ac:dyDescent="0.45">
      <c r="A83" s="8"/>
      <c r="B83" s="8"/>
      <c r="E83" s="8"/>
      <c r="F83" s="24"/>
      <c r="G83" s="8"/>
    </row>
    <row r="84" spans="1:7" x14ac:dyDescent="0.45">
      <c r="A84" s="8"/>
      <c r="B84" s="8"/>
      <c r="E84" s="8"/>
      <c r="F84" s="24"/>
      <c r="G84" s="8"/>
    </row>
    <row r="85" spans="1:7" x14ac:dyDescent="0.45">
      <c r="A85" s="8"/>
      <c r="B85" s="8"/>
      <c r="E85" s="8"/>
      <c r="F85" s="24"/>
      <c r="G85" s="8"/>
    </row>
    <row r="86" spans="1:7" x14ac:dyDescent="0.45">
      <c r="A86" s="8"/>
      <c r="B86" s="8"/>
      <c r="E86" s="8"/>
      <c r="F86" s="24"/>
      <c r="G86" s="8"/>
    </row>
    <row r="87" spans="1:7" x14ac:dyDescent="0.45">
      <c r="A87" s="8"/>
      <c r="B87" s="8"/>
      <c r="E87" s="8"/>
      <c r="F87" s="24"/>
      <c r="G87" s="8"/>
    </row>
    <row r="88" spans="1:7" x14ac:dyDescent="0.45">
      <c r="A88" s="8"/>
      <c r="B88" s="8"/>
      <c r="E88" s="8"/>
      <c r="F88" s="24"/>
      <c r="G88" s="8"/>
    </row>
    <row r="89" spans="1:7" x14ac:dyDescent="0.45">
      <c r="A89" s="8"/>
      <c r="B89" s="8"/>
      <c r="E89" s="8"/>
      <c r="F89" s="24"/>
      <c r="G89" s="8"/>
    </row>
    <row r="90" spans="1:7" x14ac:dyDescent="0.45">
      <c r="A90" s="8"/>
      <c r="B90" s="8"/>
      <c r="E90" s="8"/>
      <c r="F90" s="24"/>
      <c r="G90" s="8"/>
    </row>
    <row r="91" spans="1:7" x14ac:dyDescent="0.45">
      <c r="A91" s="8"/>
      <c r="B91" s="8"/>
      <c r="E91" s="8"/>
      <c r="F91" s="24"/>
      <c r="G91" s="8"/>
    </row>
    <row r="92" spans="1:7" x14ac:dyDescent="0.45">
      <c r="A92" s="8"/>
      <c r="B92" s="8"/>
      <c r="E92" s="8"/>
      <c r="F92" s="24"/>
      <c r="G92" s="8"/>
    </row>
    <row r="93" spans="1:7" x14ac:dyDescent="0.45">
      <c r="A93" s="8"/>
      <c r="B93" s="8"/>
      <c r="E93" s="8"/>
      <c r="F93" s="24"/>
      <c r="G93" s="8"/>
    </row>
    <row r="94" spans="1:7" x14ac:dyDescent="0.45">
      <c r="A94" s="8"/>
      <c r="B94" s="8"/>
      <c r="E94" s="8"/>
      <c r="F94" s="24"/>
      <c r="G94" s="8"/>
    </row>
    <row r="95" spans="1:7" x14ac:dyDescent="0.45">
      <c r="A95" s="8"/>
      <c r="B95" s="8"/>
      <c r="E95" s="8"/>
      <c r="F95" s="24"/>
      <c r="G95" s="8"/>
    </row>
    <row r="96" spans="1:7" x14ac:dyDescent="0.45">
      <c r="A96" s="8"/>
      <c r="B96" s="8"/>
      <c r="E96" s="8"/>
      <c r="F96" s="24"/>
      <c r="G96" s="8"/>
    </row>
    <row r="97" spans="1:7" x14ac:dyDescent="0.45">
      <c r="A97" s="8"/>
      <c r="B97" s="8"/>
      <c r="E97" s="8"/>
      <c r="F97" s="24"/>
      <c r="G97" s="8"/>
    </row>
    <row r="98" spans="1:7" x14ac:dyDescent="0.45">
      <c r="A98" s="8"/>
      <c r="B98" s="8"/>
      <c r="E98" s="8"/>
      <c r="F98" s="24"/>
      <c r="G98" s="8"/>
    </row>
    <row r="99" spans="1:7" x14ac:dyDescent="0.45">
      <c r="A99" s="8"/>
      <c r="B99" s="8"/>
      <c r="E99" s="8"/>
      <c r="F99" s="24"/>
      <c r="G99" s="8"/>
    </row>
    <row r="100" spans="1:7" x14ac:dyDescent="0.45">
      <c r="A100" s="8"/>
      <c r="B100" s="8"/>
      <c r="E100" s="8"/>
      <c r="F100" s="24"/>
      <c r="G100" s="8"/>
    </row>
    <row r="101" spans="1:7" x14ac:dyDescent="0.45">
      <c r="A101" s="8"/>
      <c r="B101" s="8"/>
      <c r="E101" s="8"/>
      <c r="F101" s="24"/>
      <c r="G101" s="8"/>
    </row>
    <row r="102" spans="1:7" x14ac:dyDescent="0.45">
      <c r="A102" s="8"/>
      <c r="B102" s="8"/>
      <c r="E102" s="8"/>
      <c r="F102" s="24"/>
      <c r="G102" s="8"/>
    </row>
    <row r="103" spans="1:7" x14ac:dyDescent="0.45">
      <c r="A103" s="8"/>
      <c r="B103" s="8"/>
      <c r="E103" s="8"/>
      <c r="F103" s="24"/>
      <c r="G103" s="8"/>
    </row>
    <row r="104" spans="1:7" x14ac:dyDescent="0.45">
      <c r="A104" s="8"/>
      <c r="B104" s="8"/>
      <c r="E104" s="8"/>
      <c r="F104" s="24"/>
      <c r="G104" s="8"/>
    </row>
    <row r="105" spans="1:7" x14ac:dyDescent="0.45">
      <c r="A105" s="8"/>
      <c r="B105" s="8"/>
      <c r="E105" s="8"/>
      <c r="F105" s="24"/>
      <c r="G105" s="8"/>
    </row>
    <row r="106" spans="1:7" x14ac:dyDescent="0.45">
      <c r="A106" s="8"/>
      <c r="B106" s="8"/>
      <c r="E106" s="8"/>
      <c r="F106" s="24"/>
      <c r="G106" s="8"/>
    </row>
    <row r="107" spans="1:7" x14ac:dyDescent="0.45">
      <c r="A107" s="8"/>
      <c r="B107" s="8"/>
      <c r="E107" s="8"/>
      <c r="F107" s="24"/>
      <c r="G107" s="8"/>
    </row>
    <row r="108" spans="1:7" x14ac:dyDescent="0.45">
      <c r="A108" s="8"/>
      <c r="B108" s="8"/>
      <c r="E108" s="8"/>
      <c r="F108" s="24"/>
      <c r="G108" s="8"/>
    </row>
    <row r="109" spans="1:7" x14ac:dyDescent="0.45">
      <c r="A109" s="8"/>
      <c r="B109" s="8"/>
      <c r="E109" s="8"/>
      <c r="F109" s="24"/>
      <c r="G109" s="8"/>
    </row>
    <row r="110" spans="1:7" x14ac:dyDescent="0.45">
      <c r="A110" s="8"/>
      <c r="B110" s="8"/>
      <c r="E110" s="8"/>
      <c r="F110" s="24"/>
      <c r="G110" s="8"/>
    </row>
    <row r="111" spans="1:7" x14ac:dyDescent="0.45">
      <c r="A111" s="8"/>
      <c r="B111" s="8"/>
      <c r="E111" s="8"/>
      <c r="F111" s="24"/>
      <c r="G111" s="8"/>
    </row>
    <row r="112" spans="1:7" x14ac:dyDescent="0.45">
      <c r="A112" s="8"/>
      <c r="B112" s="8"/>
      <c r="E112" s="8"/>
      <c r="F112" s="24"/>
      <c r="G112" s="8"/>
    </row>
    <row r="113" spans="1:7" x14ac:dyDescent="0.45">
      <c r="A113" s="8"/>
      <c r="B113" s="8"/>
      <c r="E113" s="8"/>
      <c r="F113" s="24"/>
      <c r="G113" s="8"/>
    </row>
    <row r="114" spans="1:7" x14ac:dyDescent="0.45">
      <c r="A114" s="8"/>
      <c r="B114" s="8"/>
      <c r="E114" s="8"/>
      <c r="F114" s="24"/>
      <c r="G114" s="8"/>
    </row>
    <row r="115" spans="1:7" x14ac:dyDescent="0.45">
      <c r="A115" s="8"/>
      <c r="B115" s="8"/>
      <c r="E115" s="8"/>
      <c r="F115" s="24"/>
      <c r="G115" s="8"/>
    </row>
    <row r="116" spans="1:7" x14ac:dyDescent="0.45">
      <c r="A116" s="8"/>
      <c r="B116" s="8"/>
      <c r="E116" s="8"/>
      <c r="F116" s="24"/>
      <c r="G116" s="8"/>
    </row>
    <row r="117" spans="1:7" x14ac:dyDescent="0.45">
      <c r="A117" s="8"/>
      <c r="B117" s="8"/>
      <c r="E117" s="8"/>
      <c r="F117" s="24"/>
      <c r="G117" s="8"/>
    </row>
    <row r="118" spans="1:7" x14ac:dyDescent="0.45">
      <c r="A118" s="8"/>
      <c r="B118" s="8"/>
      <c r="E118" s="8"/>
      <c r="F118" s="24"/>
      <c r="G118" s="8"/>
    </row>
    <row r="119" spans="1:7" x14ac:dyDescent="0.45">
      <c r="A119" s="8"/>
      <c r="B119" s="8"/>
      <c r="E119" s="8"/>
      <c r="F119" s="24"/>
      <c r="G119" s="8"/>
    </row>
    <row r="120" spans="1:7" x14ac:dyDescent="0.45">
      <c r="A120" s="8"/>
      <c r="B120" s="8"/>
      <c r="E120" s="8"/>
      <c r="F120" s="24"/>
      <c r="G120" s="8"/>
    </row>
    <row r="121" spans="1:7" x14ac:dyDescent="0.45">
      <c r="A121" s="8"/>
      <c r="B121" s="8"/>
      <c r="E121" s="8"/>
      <c r="F121" s="24"/>
      <c r="G121" s="8"/>
    </row>
    <row r="122" spans="1:7" x14ac:dyDescent="0.45">
      <c r="A122" s="8"/>
      <c r="B122" s="8"/>
      <c r="E122" s="8"/>
      <c r="F122" s="24"/>
      <c r="G122" s="8"/>
    </row>
    <row r="123" spans="1:7" x14ac:dyDescent="0.45">
      <c r="A123" s="8"/>
      <c r="B123" s="8"/>
      <c r="E123" s="8"/>
      <c r="F123" s="24"/>
      <c r="G123" s="8"/>
    </row>
    <row r="124" spans="1:7" x14ac:dyDescent="0.45">
      <c r="A124" s="8"/>
      <c r="B124" s="8"/>
      <c r="E124" s="8"/>
      <c r="F124" s="24"/>
      <c r="G124" s="8"/>
    </row>
  </sheetData>
  <autoFilter ref="A1:F1"/>
  <dataValidations count="1">
    <dataValidation type="list" allowBlank="1" showInputMessage="1" showErrorMessage="1" error="Select Yes to retrieve data from API, or No to ignore it" sqref="F2:F124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velsSheet"/>
  <dimension ref="A1:G189"/>
  <sheetViews>
    <sheetView workbookViewId="0">
      <selection activeCell="C36" sqref="C36"/>
    </sheetView>
  </sheetViews>
  <sheetFormatPr defaultRowHeight="14.25" x14ac:dyDescent="0.45"/>
  <cols>
    <col min="1" max="5" width="19.1328125" customWidth="1"/>
    <col min="6" max="6" width="19.33203125" customWidth="1"/>
  </cols>
  <sheetData>
    <row r="1" spans="1:7" ht="14.65" thickBot="1" x14ac:dyDescent="0.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45">
      <c r="A2" s="8"/>
      <c r="B2" s="8"/>
      <c r="C2" s="8"/>
      <c r="D2" s="8"/>
      <c r="E2" s="8"/>
      <c r="F2" s="8"/>
      <c r="G2" s="8"/>
    </row>
    <row r="3" spans="1:7" x14ac:dyDescent="0.45">
      <c r="A3" s="8"/>
      <c r="B3" s="8"/>
      <c r="C3" s="8"/>
      <c r="D3" s="8"/>
      <c r="E3" s="8"/>
      <c r="F3" s="8"/>
      <c r="G3" s="8"/>
    </row>
    <row r="4" spans="1:7" x14ac:dyDescent="0.45">
      <c r="A4" s="8"/>
      <c r="B4" s="8"/>
      <c r="C4" s="8"/>
      <c r="D4" s="8"/>
      <c r="E4" s="8"/>
      <c r="F4" s="8"/>
      <c r="G4" s="8"/>
    </row>
    <row r="5" spans="1:7" x14ac:dyDescent="0.45">
      <c r="A5" s="8"/>
      <c r="B5" s="8"/>
      <c r="C5" s="8"/>
      <c r="D5" s="8"/>
      <c r="E5" s="8"/>
      <c r="F5" s="8"/>
      <c r="G5" s="8"/>
    </row>
    <row r="6" spans="1:7" x14ac:dyDescent="0.45">
      <c r="A6" s="8"/>
      <c r="B6" s="8"/>
      <c r="C6" s="8"/>
      <c r="D6" s="8"/>
      <c r="E6" s="8"/>
      <c r="F6" s="8"/>
      <c r="G6" s="8"/>
    </row>
    <row r="7" spans="1:7" x14ac:dyDescent="0.45">
      <c r="A7" s="8"/>
      <c r="B7" s="8"/>
      <c r="C7" s="8"/>
      <c r="D7" s="8"/>
      <c r="E7" s="8"/>
      <c r="F7" s="8"/>
      <c r="G7" s="8"/>
    </row>
    <row r="8" spans="1:7" x14ac:dyDescent="0.45">
      <c r="A8" s="8"/>
      <c r="B8" s="8"/>
      <c r="C8" s="8"/>
      <c r="D8" s="8"/>
      <c r="E8" s="8"/>
      <c r="F8" s="8"/>
      <c r="G8" s="8"/>
    </row>
    <row r="9" spans="1:7" x14ac:dyDescent="0.45">
      <c r="A9" s="8"/>
      <c r="B9" s="8"/>
      <c r="C9" s="8"/>
      <c r="D9" s="8"/>
      <c r="E9" s="8"/>
      <c r="F9" s="8"/>
      <c r="G9" s="8"/>
    </row>
    <row r="10" spans="1:7" x14ac:dyDescent="0.45">
      <c r="A10" s="8"/>
      <c r="B10" s="8"/>
      <c r="C10" s="8"/>
      <c r="D10" s="8"/>
      <c r="E10" s="8"/>
      <c r="F10" s="8"/>
      <c r="G10" s="8"/>
    </row>
    <row r="11" spans="1:7" x14ac:dyDescent="0.45">
      <c r="A11" s="8"/>
      <c r="B11" s="8"/>
      <c r="C11" s="8"/>
      <c r="D11" s="8"/>
      <c r="E11" s="8"/>
      <c r="F11" s="8"/>
      <c r="G11" s="8"/>
    </row>
    <row r="12" spans="1:7" x14ac:dyDescent="0.45">
      <c r="A12" s="8"/>
      <c r="B12" s="8"/>
      <c r="C12" s="8"/>
      <c r="D12" s="8"/>
      <c r="E12" s="8"/>
      <c r="F12" s="8"/>
      <c r="G12" s="8"/>
    </row>
    <row r="13" spans="1:7" x14ac:dyDescent="0.45">
      <c r="A13" s="8"/>
      <c r="B13" s="8"/>
      <c r="C13" s="8"/>
      <c r="D13" s="8"/>
      <c r="E13" s="8"/>
      <c r="F13" s="8"/>
      <c r="G13" s="8"/>
    </row>
    <row r="14" spans="1:7" x14ac:dyDescent="0.45">
      <c r="A14" s="8"/>
      <c r="B14" s="8"/>
      <c r="C14" s="8"/>
      <c r="D14" s="8"/>
      <c r="E14" s="8"/>
      <c r="F14" s="8"/>
      <c r="G14" s="8"/>
    </row>
    <row r="15" spans="1:7" x14ac:dyDescent="0.45">
      <c r="A15" s="8"/>
      <c r="B15" s="8"/>
      <c r="C15" s="8"/>
      <c r="D15" s="8"/>
      <c r="E15" s="8"/>
      <c r="F15" s="8"/>
      <c r="G15" s="8"/>
    </row>
    <row r="16" spans="1:7" x14ac:dyDescent="0.45">
      <c r="A16" s="8"/>
      <c r="B16" s="8"/>
      <c r="C16" s="36"/>
      <c r="D16" s="8"/>
      <c r="E16" s="8"/>
      <c r="F16" s="8"/>
      <c r="G16" s="8"/>
    </row>
    <row r="17" spans="1:7" x14ac:dyDescent="0.45">
      <c r="A17" s="8"/>
      <c r="B17" s="8"/>
      <c r="C17" s="8"/>
      <c r="D17" s="8"/>
      <c r="E17" s="8"/>
      <c r="F17" s="8"/>
      <c r="G17" s="8"/>
    </row>
    <row r="18" spans="1:7" x14ac:dyDescent="0.45">
      <c r="A18" s="8"/>
      <c r="B18" s="8"/>
      <c r="C18" s="8"/>
      <c r="D18" s="8"/>
      <c r="E18" s="8"/>
      <c r="F18" s="8"/>
      <c r="G18" s="8"/>
    </row>
    <row r="19" spans="1:7" x14ac:dyDescent="0.45">
      <c r="A19" s="8"/>
      <c r="B19" s="8"/>
      <c r="C19" s="8"/>
      <c r="D19" s="8"/>
      <c r="E19" s="8"/>
      <c r="F19" s="8"/>
      <c r="G19" s="8"/>
    </row>
    <row r="20" spans="1:7" x14ac:dyDescent="0.45">
      <c r="A20" s="8"/>
      <c r="B20" s="8"/>
      <c r="C20" s="8"/>
      <c r="D20" s="8"/>
      <c r="E20" s="8"/>
      <c r="F20" s="8"/>
      <c r="G20" s="8"/>
    </row>
    <row r="21" spans="1:7" x14ac:dyDescent="0.45">
      <c r="A21" s="8"/>
      <c r="B21" s="8"/>
      <c r="C21" s="8"/>
      <c r="D21" s="8"/>
      <c r="E21" s="8"/>
      <c r="F21" s="8"/>
      <c r="G21" s="8"/>
    </row>
    <row r="22" spans="1:7" x14ac:dyDescent="0.45">
      <c r="A22" s="8"/>
      <c r="B22" s="8"/>
      <c r="C22" s="8"/>
      <c r="D22" s="8"/>
      <c r="E22" s="8"/>
      <c r="F22" s="8"/>
      <c r="G22" s="8"/>
    </row>
    <row r="23" spans="1:7" x14ac:dyDescent="0.45">
      <c r="A23" s="8"/>
      <c r="B23" s="8"/>
      <c r="C23" s="8"/>
      <c r="D23" s="8"/>
      <c r="E23" s="8"/>
      <c r="F23" s="8"/>
      <c r="G23" s="8"/>
    </row>
    <row r="24" spans="1:7" x14ac:dyDescent="0.45">
      <c r="A24" s="8"/>
      <c r="B24" s="8"/>
      <c r="C24" s="8"/>
      <c r="D24" s="8"/>
      <c r="E24" s="8"/>
      <c r="F24" s="8"/>
      <c r="G24" s="8"/>
    </row>
    <row r="25" spans="1:7" x14ac:dyDescent="0.45">
      <c r="A25" s="8"/>
      <c r="B25" s="8"/>
      <c r="C25" s="8"/>
      <c r="D25" s="8"/>
      <c r="E25" s="8"/>
      <c r="F25" s="8"/>
      <c r="G25" s="8"/>
    </row>
    <row r="26" spans="1:7" x14ac:dyDescent="0.45">
      <c r="A26" s="8"/>
      <c r="B26" s="8"/>
      <c r="C26" s="8"/>
      <c r="D26" s="8"/>
      <c r="E26" s="8"/>
      <c r="F26" s="8"/>
      <c r="G26" s="8"/>
    </row>
    <row r="27" spans="1:7" x14ac:dyDescent="0.45">
      <c r="A27" s="8"/>
      <c r="B27" s="8"/>
      <c r="C27" s="8"/>
      <c r="D27" s="8"/>
      <c r="E27" s="8"/>
      <c r="F27" s="8"/>
      <c r="G27" s="8"/>
    </row>
    <row r="28" spans="1:7" x14ac:dyDescent="0.45">
      <c r="A28" s="8"/>
      <c r="B28" s="8"/>
      <c r="C28" s="8"/>
      <c r="D28" s="8"/>
      <c r="E28" s="8"/>
      <c r="F28" s="8"/>
      <c r="G28" s="8"/>
    </row>
    <row r="29" spans="1:7" x14ac:dyDescent="0.45">
      <c r="A29" s="8"/>
      <c r="B29" s="8"/>
      <c r="C29" s="8"/>
      <c r="D29" s="8"/>
      <c r="E29" s="8"/>
      <c r="F29" s="8"/>
      <c r="G29" s="8"/>
    </row>
    <row r="30" spans="1:7" x14ac:dyDescent="0.45">
      <c r="A30" s="8"/>
      <c r="B30" s="8"/>
      <c r="C30" s="8"/>
      <c r="D30" s="8"/>
      <c r="E30" s="8"/>
      <c r="F30" s="8"/>
      <c r="G30" s="8"/>
    </row>
    <row r="31" spans="1:7" x14ac:dyDescent="0.45">
      <c r="A31" s="8"/>
      <c r="B31" s="8"/>
      <c r="C31" s="8"/>
      <c r="D31" s="8"/>
      <c r="E31" s="8"/>
      <c r="F31" s="8"/>
      <c r="G31" s="8"/>
    </row>
    <row r="32" spans="1:7" x14ac:dyDescent="0.45">
      <c r="A32" s="8"/>
      <c r="B32" s="8"/>
      <c r="C32" s="8"/>
      <c r="D32" s="8"/>
      <c r="E32" s="8"/>
      <c r="F32" s="8"/>
      <c r="G32" s="8"/>
    </row>
    <row r="33" spans="1:7" x14ac:dyDescent="0.45">
      <c r="A33" s="8"/>
      <c r="B33" s="8"/>
      <c r="C33" s="8"/>
      <c r="D33" s="8"/>
      <c r="E33" s="8"/>
      <c r="F33" s="8"/>
      <c r="G33" s="8"/>
    </row>
    <row r="34" spans="1:7" x14ac:dyDescent="0.45">
      <c r="A34" s="8"/>
      <c r="B34" s="8"/>
      <c r="C34" s="8"/>
      <c r="D34" s="8"/>
      <c r="E34" s="8"/>
      <c r="F34" s="8"/>
      <c r="G34" s="8"/>
    </row>
    <row r="35" spans="1:7" x14ac:dyDescent="0.45">
      <c r="A35" s="8"/>
      <c r="B35" s="8"/>
      <c r="C35" s="8"/>
      <c r="D35" s="8"/>
      <c r="E35" s="8"/>
      <c r="F35" s="8"/>
      <c r="G35" s="8"/>
    </row>
    <row r="36" spans="1:7" x14ac:dyDescent="0.45">
      <c r="A36" s="8"/>
      <c r="B36" s="8"/>
      <c r="C36" s="8"/>
      <c r="D36" s="8"/>
      <c r="E36" s="8"/>
      <c r="F36" s="8"/>
      <c r="G36" s="8"/>
    </row>
    <row r="37" spans="1:7" x14ac:dyDescent="0.45">
      <c r="A37" s="8"/>
      <c r="B37" s="8"/>
      <c r="C37" s="8"/>
      <c r="D37" s="8"/>
      <c r="E37" s="8"/>
      <c r="F37" s="8"/>
      <c r="G37" s="8"/>
    </row>
    <row r="38" spans="1:7" x14ac:dyDescent="0.45">
      <c r="A38" s="8"/>
      <c r="B38" s="8"/>
      <c r="C38" s="8"/>
      <c r="D38" s="8"/>
      <c r="E38" s="8"/>
      <c r="F38" s="8"/>
      <c r="G38" s="8"/>
    </row>
    <row r="39" spans="1:7" x14ac:dyDescent="0.45">
      <c r="A39" s="8"/>
      <c r="B39" s="8"/>
      <c r="C39" s="8"/>
      <c r="D39" s="8"/>
      <c r="E39" s="8"/>
      <c r="F39" s="8"/>
      <c r="G39" s="8"/>
    </row>
    <row r="40" spans="1:7" x14ac:dyDescent="0.45">
      <c r="A40" s="8"/>
      <c r="B40" s="8"/>
      <c r="C40" s="8"/>
      <c r="D40" s="8"/>
      <c r="E40" s="8"/>
      <c r="F40" s="8"/>
      <c r="G40" s="8"/>
    </row>
    <row r="41" spans="1:7" x14ac:dyDescent="0.45">
      <c r="A41" s="8"/>
      <c r="B41" s="8"/>
      <c r="C41" s="8"/>
      <c r="D41" s="8"/>
      <c r="E41" s="8"/>
      <c r="F41" s="8"/>
      <c r="G41" s="8"/>
    </row>
    <row r="42" spans="1:7" x14ac:dyDescent="0.45">
      <c r="A42" s="8"/>
      <c r="B42" s="8"/>
      <c r="C42" s="8"/>
      <c r="D42" s="8"/>
      <c r="E42" s="8"/>
      <c r="F42" s="8"/>
      <c r="G42" s="8"/>
    </row>
    <row r="43" spans="1:7" x14ac:dyDescent="0.45">
      <c r="A43" s="8"/>
      <c r="B43" s="8"/>
      <c r="C43" s="8"/>
      <c r="D43" s="8"/>
      <c r="E43" s="8"/>
      <c r="F43" s="8"/>
      <c r="G43" s="8"/>
    </row>
    <row r="44" spans="1:7" x14ac:dyDescent="0.45">
      <c r="A44" s="8"/>
      <c r="B44" s="8"/>
      <c r="C44" s="8"/>
      <c r="D44" s="8"/>
      <c r="E44" s="8"/>
      <c r="F44" s="8"/>
      <c r="G44" s="8"/>
    </row>
    <row r="45" spans="1:7" x14ac:dyDescent="0.45">
      <c r="A45" s="8"/>
      <c r="B45" s="8"/>
      <c r="C45" s="8"/>
      <c r="D45" s="8"/>
      <c r="E45" s="8"/>
      <c r="F45" s="8"/>
      <c r="G45" s="8"/>
    </row>
    <row r="46" spans="1:7" x14ac:dyDescent="0.45">
      <c r="A46" s="8"/>
      <c r="B46" s="8"/>
      <c r="C46" s="8"/>
      <c r="D46" s="8"/>
      <c r="E46" s="8"/>
      <c r="F46" s="8"/>
      <c r="G46" s="8"/>
    </row>
    <row r="47" spans="1:7" x14ac:dyDescent="0.45">
      <c r="A47" s="8"/>
      <c r="B47" s="8"/>
      <c r="C47" s="8"/>
      <c r="D47" s="8"/>
      <c r="E47" s="8"/>
      <c r="F47" s="8"/>
      <c r="G47" s="8"/>
    </row>
    <row r="48" spans="1:7" x14ac:dyDescent="0.45">
      <c r="A48" s="8"/>
      <c r="B48" s="8"/>
      <c r="C48" s="8"/>
      <c r="D48" s="8"/>
      <c r="E48" s="8"/>
      <c r="F48" s="8"/>
      <c r="G48" s="8"/>
    </row>
    <row r="49" spans="1:7" x14ac:dyDescent="0.45">
      <c r="A49" s="8"/>
      <c r="B49" s="8"/>
      <c r="C49" s="8"/>
      <c r="D49" s="8"/>
      <c r="E49" s="8"/>
      <c r="F49" s="8"/>
      <c r="G49" s="8"/>
    </row>
    <row r="50" spans="1:7" x14ac:dyDescent="0.45">
      <c r="A50" s="8"/>
      <c r="B50" s="8"/>
      <c r="C50" s="8"/>
      <c r="D50" s="8"/>
      <c r="E50" s="8"/>
      <c r="F50" s="8"/>
      <c r="G50" s="8"/>
    </row>
    <row r="51" spans="1:7" x14ac:dyDescent="0.45">
      <c r="A51" s="8"/>
      <c r="B51" s="8"/>
      <c r="C51" s="8"/>
      <c r="D51" s="8"/>
      <c r="E51" s="8"/>
      <c r="F51" s="8"/>
      <c r="G51" s="8"/>
    </row>
    <row r="52" spans="1:7" x14ac:dyDescent="0.45">
      <c r="A52" s="8"/>
      <c r="B52" s="8"/>
      <c r="C52" s="8"/>
      <c r="D52" s="8"/>
      <c r="E52" s="8"/>
      <c r="F52" s="8"/>
      <c r="G52" s="8"/>
    </row>
    <row r="53" spans="1:7" x14ac:dyDescent="0.45">
      <c r="A53" s="8"/>
      <c r="B53" s="8"/>
      <c r="C53" s="8"/>
      <c r="D53" s="8"/>
      <c r="E53" s="8"/>
      <c r="F53" s="8"/>
      <c r="G53" s="8"/>
    </row>
    <row r="54" spans="1:7" x14ac:dyDescent="0.45">
      <c r="A54" s="8"/>
      <c r="B54" s="8"/>
      <c r="C54" s="8"/>
      <c r="D54" s="8"/>
      <c r="E54" s="8"/>
      <c r="F54" s="8"/>
      <c r="G54" s="8"/>
    </row>
    <row r="55" spans="1:7" x14ac:dyDescent="0.45">
      <c r="A55" s="8"/>
      <c r="B55" s="8"/>
      <c r="C55" s="8"/>
      <c r="D55" s="8"/>
      <c r="E55" s="8"/>
      <c r="F55" s="8"/>
      <c r="G55" s="8"/>
    </row>
    <row r="56" spans="1:7" x14ac:dyDescent="0.45">
      <c r="A56" s="8"/>
      <c r="B56" s="8"/>
      <c r="C56" s="8"/>
      <c r="D56" s="8"/>
      <c r="E56" s="8"/>
      <c r="F56" s="8"/>
      <c r="G56" s="8"/>
    </row>
    <row r="57" spans="1:7" x14ac:dyDescent="0.45">
      <c r="A57" s="8"/>
      <c r="B57" s="8"/>
      <c r="C57" s="8"/>
      <c r="D57" s="8"/>
      <c r="E57" s="8"/>
      <c r="F57" s="8"/>
      <c r="G57" s="8"/>
    </row>
    <row r="58" spans="1:7" x14ac:dyDescent="0.45">
      <c r="A58" s="8"/>
      <c r="B58" s="8"/>
      <c r="C58" s="8"/>
      <c r="D58" s="8"/>
      <c r="E58" s="8"/>
      <c r="F58" s="8"/>
      <c r="G58" s="8"/>
    </row>
    <row r="59" spans="1:7" x14ac:dyDescent="0.45">
      <c r="A59" s="8"/>
      <c r="B59" s="8"/>
      <c r="C59" s="8"/>
      <c r="D59" s="8"/>
      <c r="E59" s="8"/>
      <c r="F59" s="8"/>
      <c r="G59" s="8"/>
    </row>
    <row r="60" spans="1:7" x14ac:dyDescent="0.45">
      <c r="A60" s="8"/>
      <c r="B60" s="8"/>
      <c r="C60" s="8"/>
      <c r="D60" s="8"/>
      <c r="E60" s="8"/>
      <c r="F60" s="8"/>
      <c r="G60" s="8"/>
    </row>
    <row r="61" spans="1:7" x14ac:dyDescent="0.45">
      <c r="A61" s="8"/>
      <c r="B61" s="8"/>
      <c r="C61" s="8"/>
      <c r="D61" s="8"/>
      <c r="E61" s="8"/>
      <c r="F61" s="8"/>
      <c r="G61" s="8"/>
    </row>
    <row r="62" spans="1:7" x14ac:dyDescent="0.45">
      <c r="A62" s="8"/>
      <c r="B62" s="8"/>
      <c r="C62" s="8"/>
      <c r="D62" s="8"/>
      <c r="E62" s="8"/>
      <c r="F62" s="8"/>
      <c r="G62" s="8"/>
    </row>
    <row r="63" spans="1:7" x14ac:dyDescent="0.45">
      <c r="A63" s="8"/>
      <c r="B63" s="8"/>
      <c r="C63" s="8"/>
      <c r="D63" s="8"/>
      <c r="E63" s="8"/>
      <c r="F63" s="8"/>
      <c r="G63" s="8"/>
    </row>
    <row r="64" spans="1:7" x14ac:dyDescent="0.45">
      <c r="A64" s="8"/>
      <c r="B64" s="8"/>
      <c r="C64" s="8"/>
      <c r="D64" s="8"/>
      <c r="E64" s="8"/>
      <c r="F64" s="8"/>
      <c r="G64" s="8"/>
    </row>
    <row r="65" spans="1:7" x14ac:dyDescent="0.45">
      <c r="A65" s="8"/>
      <c r="B65" s="8"/>
      <c r="C65" s="8"/>
      <c r="D65" s="8"/>
      <c r="E65" s="8"/>
      <c r="F65" s="8"/>
      <c r="G65" s="8"/>
    </row>
    <row r="66" spans="1:7" x14ac:dyDescent="0.45">
      <c r="A66" s="8"/>
      <c r="B66" s="8"/>
      <c r="C66" s="8"/>
      <c r="D66" s="8"/>
      <c r="E66" s="8"/>
      <c r="F66" s="8"/>
      <c r="G66" s="8"/>
    </row>
    <row r="67" spans="1:7" x14ac:dyDescent="0.45">
      <c r="A67" s="8"/>
      <c r="B67" s="8"/>
      <c r="C67" s="8"/>
      <c r="D67" s="8"/>
      <c r="E67" s="8"/>
      <c r="F67" s="8"/>
      <c r="G67" s="8"/>
    </row>
    <row r="68" spans="1:7" x14ac:dyDescent="0.45">
      <c r="A68" s="8"/>
      <c r="B68" s="8"/>
      <c r="C68" s="8"/>
      <c r="D68" s="8"/>
      <c r="E68" s="8"/>
      <c r="F68" s="8"/>
      <c r="G68" s="8"/>
    </row>
    <row r="69" spans="1:7" x14ac:dyDescent="0.45">
      <c r="A69" s="8"/>
      <c r="B69" s="8"/>
      <c r="C69" s="8"/>
      <c r="D69" s="8"/>
      <c r="E69" s="8"/>
      <c r="F69" s="8"/>
      <c r="G69" s="8"/>
    </row>
    <row r="70" spans="1:7" x14ac:dyDescent="0.45">
      <c r="A70" s="8"/>
      <c r="B70" s="8"/>
      <c r="C70" s="8"/>
      <c r="D70" s="8"/>
      <c r="E70" s="8"/>
      <c r="F70" s="8"/>
      <c r="G70" s="8"/>
    </row>
    <row r="71" spans="1:7" x14ac:dyDescent="0.45">
      <c r="A71" s="8"/>
      <c r="B71" s="8"/>
      <c r="C71" s="8"/>
      <c r="D71" s="8"/>
      <c r="E71" s="8"/>
      <c r="F71" s="8"/>
      <c r="G71" s="8"/>
    </row>
    <row r="72" spans="1:7" x14ac:dyDescent="0.45">
      <c r="A72" s="8"/>
      <c r="B72" s="8"/>
      <c r="C72" s="8"/>
      <c r="D72" s="8"/>
      <c r="E72" s="8"/>
      <c r="F72" s="8"/>
      <c r="G72" s="8"/>
    </row>
    <row r="73" spans="1:7" x14ac:dyDescent="0.45">
      <c r="A73" s="8"/>
      <c r="B73" s="8"/>
      <c r="C73" s="8"/>
      <c r="D73" s="8"/>
      <c r="E73" s="8"/>
      <c r="F73" s="8"/>
      <c r="G73" s="8"/>
    </row>
    <row r="74" spans="1:7" x14ac:dyDescent="0.45">
      <c r="A74" s="8"/>
      <c r="B74" s="8"/>
      <c r="C74" s="8"/>
      <c r="D74" s="8"/>
      <c r="E74" s="8"/>
      <c r="F74" s="8"/>
      <c r="G74" s="8"/>
    </row>
    <row r="75" spans="1:7" x14ac:dyDescent="0.45">
      <c r="A75" s="8"/>
      <c r="B75" s="8"/>
      <c r="C75" s="8"/>
      <c r="D75" s="8"/>
      <c r="E75" s="8"/>
      <c r="F75" s="8"/>
      <c r="G75" s="8"/>
    </row>
    <row r="76" spans="1:7" x14ac:dyDescent="0.45">
      <c r="A76" s="8"/>
      <c r="B76" s="8"/>
      <c r="C76" s="8"/>
      <c r="D76" s="8"/>
      <c r="E76" s="8"/>
      <c r="F76" s="8"/>
      <c r="G76" s="8"/>
    </row>
    <row r="77" spans="1:7" x14ac:dyDescent="0.45">
      <c r="A77" s="8"/>
      <c r="B77" s="8"/>
      <c r="C77" s="8"/>
      <c r="D77" s="8"/>
      <c r="E77" s="8"/>
      <c r="F77" s="8"/>
      <c r="G77" s="8"/>
    </row>
    <row r="78" spans="1:7" x14ac:dyDescent="0.45">
      <c r="A78" s="8"/>
      <c r="B78" s="8"/>
      <c r="C78" s="8"/>
      <c r="D78" s="8"/>
      <c r="E78" s="8"/>
      <c r="F78" s="8"/>
      <c r="G78" s="8"/>
    </row>
    <row r="79" spans="1:7" x14ac:dyDescent="0.45">
      <c r="A79" s="8"/>
      <c r="B79" s="8"/>
      <c r="C79" s="8"/>
      <c r="D79" s="8"/>
      <c r="E79" s="8"/>
      <c r="F79" s="8"/>
      <c r="G79" s="8"/>
    </row>
    <row r="80" spans="1:7" x14ac:dyDescent="0.45">
      <c r="A80" s="8"/>
      <c r="B80" s="8"/>
      <c r="C80" s="8"/>
      <c r="D80" s="8"/>
      <c r="E80" s="8"/>
      <c r="F80" s="8"/>
      <c r="G80" s="8"/>
    </row>
    <row r="81" spans="1:7" x14ac:dyDescent="0.45">
      <c r="A81" s="8"/>
      <c r="B81" s="8"/>
      <c r="C81" s="8"/>
      <c r="D81" s="8"/>
      <c r="E81" s="8"/>
      <c r="F81" s="8"/>
      <c r="G81" s="8"/>
    </row>
    <row r="82" spans="1:7" x14ac:dyDescent="0.45">
      <c r="A82" s="8"/>
      <c r="B82" s="8"/>
      <c r="C82" s="8"/>
      <c r="D82" s="8"/>
      <c r="E82" s="8"/>
      <c r="F82" s="8"/>
      <c r="G82" s="8"/>
    </row>
    <row r="83" spans="1:7" x14ac:dyDescent="0.45">
      <c r="A83" s="8"/>
      <c r="B83" s="8"/>
      <c r="C83" s="8"/>
      <c r="D83" s="8"/>
      <c r="E83" s="8"/>
      <c r="F83" s="8"/>
      <c r="G83" s="8"/>
    </row>
    <row r="84" spans="1:7" x14ac:dyDescent="0.45">
      <c r="A84" s="8"/>
      <c r="B84" s="8"/>
      <c r="C84" s="8"/>
      <c r="D84" s="8"/>
      <c r="E84" s="8"/>
      <c r="F84" s="8"/>
      <c r="G84" s="8"/>
    </row>
    <row r="85" spans="1:7" x14ac:dyDescent="0.45">
      <c r="A85" s="8"/>
      <c r="B85" s="8"/>
      <c r="C85" s="8"/>
      <c r="D85" s="8"/>
      <c r="E85" s="8"/>
      <c r="F85" s="8"/>
      <c r="G85" s="8"/>
    </row>
    <row r="86" spans="1:7" x14ac:dyDescent="0.45">
      <c r="A86" s="8"/>
      <c r="B86" s="8"/>
      <c r="C86" s="8"/>
      <c r="D86" s="8"/>
      <c r="E86" s="8"/>
      <c r="F86" s="8"/>
      <c r="G86" s="8"/>
    </row>
    <row r="87" spans="1:7" x14ac:dyDescent="0.45">
      <c r="A87" s="8"/>
      <c r="B87" s="8"/>
      <c r="C87" s="8"/>
      <c r="D87" s="8"/>
      <c r="E87" s="8"/>
      <c r="F87" s="8"/>
      <c r="G87" s="8"/>
    </row>
    <row r="88" spans="1:7" x14ac:dyDescent="0.45">
      <c r="A88" s="8"/>
      <c r="B88" s="8"/>
      <c r="C88" s="8"/>
      <c r="D88" s="8"/>
      <c r="E88" s="8"/>
      <c r="F88" s="8"/>
      <c r="G88" s="8"/>
    </row>
    <row r="89" spans="1:7" x14ac:dyDescent="0.45">
      <c r="A89" s="8"/>
      <c r="B89" s="8"/>
      <c r="C89" s="8"/>
      <c r="D89" s="8"/>
      <c r="E89" s="8"/>
      <c r="F89" s="8"/>
      <c r="G89" s="8"/>
    </row>
    <row r="90" spans="1:7" x14ac:dyDescent="0.45">
      <c r="A90" s="8"/>
      <c r="B90" s="8"/>
      <c r="C90" s="8"/>
      <c r="D90" s="8"/>
      <c r="E90" s="8"/>
      <c r="F90" s="8"/>
    </row>
    <row r="91" spans="1:7" x14ac:dyDescent="0.45">
      <c r="A91" s="8"/>
      <c r="B91" s="8"/>
      <c r="C91" s="8"/>
      <c r="D91" s="8"/>
      <c r="E91" s="8"/>
      <c r="F91" s="8"/>
    </row>
    <row r="92" spans="1:7" x14ac:dyDescent="0.45">
      <c r="A92" s="8"/>
      <c r="B92" s="8"/>
      <c r="C92" s="8"/>
      <c r="D92" s="8"/>
      <c r="E92" s="8"/>
      <c r="F92" s="8"/>
    </row>
    <row r="93" spans="1:7" x14ac:dyDescent="0.45">
      <c r="A93" s="8"/>
      <c r="B93" s="8"/>
      <c r="C93" s="8"/>
      <c r="D93" s="8"/>
      <c r="E93" s="8"/>
      <c r="F93" s="8"/>
    </row>
    <row r="94" spans="1:7" x14ac:dyDescent="0.45">
      <c r="A94" s="8"/>
      <c r="B94" s="8"/>
      <c r="C94" s="8"/>
      <c r="D94" s="8"/>
      <c r="E94" s="8"/>
      <c r="F94" s="8"/>
    </row>
    <row r="95" spans="1:7" x14ac:dyDescent="0.45">
      <c r="A95" s="8"/>
      <c r="B95" s="8"/>
      <c r="C95" s="8"/>
      <c r="D95" s="8"/>
      <c r="E95" s="8"/>
      <c r="F95" s="8"/>
    </row>
    <row r="96" spans="1:7" x14ac:dyDescent="0.45">
      <c r="A96" s="8"/>
      <c r="B96" s="8"/>
      <c r="C96" s="8"/>
      <c r="D96" s="8"/>
      <c r="E96" s="8"/>
      <c r="F96" s="8"/>
    </row>
    <row r="97" spans="1:6" x14ac:dyDescent="0.45">
      <c r="A97" s="8"/>
      <c r="B97" s="8"/>
      <c r="C97" s="8"/>
      <c r="D97" s="8"/>
      <c r="E97" s="8"/>
      <c r="F97" s="8"/>
    </row>
    <row r="98" spans="1:6" x14ac:dyDescent="0.45">
      <c r="A98" s="8"/>
      <c r="B98" s="8"/>
      <c r="C98" s="8"/>
      <c r="D98" s="8"/>
      <c r="E98" s="8"/>
      <c r="F98" s="8"/>
    </row>
    <row r="99" spans="1:6" x14ac:dyDescent="0.45">
      <c r="A99" s="8"/>
      <c r="B99" s="8"/>
      <c r="C99" s="8"/>
      <c r="D99" s="8"/>
      <c r="E99" s="8"/>
      <c r="F99" s="8"/>
    </row>
    <row r="100" spans="1:6" x14ac:dyDescent="0.45">
      <c r="A100" s="8"/>
      <c r="B100" s="8"/>
      <c r="C100" s="8"/>
      <c r="D100" s="8"/>
      <c r="E100" s="8"/>
      <c r="F100" s="8"/>
    </row>
    <row r="101" spans="1:6" x14ac:dyDescent="0.45">
      <c r="A101" s="8"/>
      <c r="B101" s="8"/>
      <c r="C101" s="8"/>
      <c r="D101" s="8"/>
      <c r="E101" s="8"/>
      <c r="F101" s="8"/>
    </row>
    <row r="102" spans="1:6" x14ac:dyDescent="0.45">
      <c r="A102" s="8"/>
      <c r="B102" s="8"/>
      <c r="C102" s="8"/>
      <c r="D102" s="8"/>
      <c r="E102" s="8"/>
      <c r="F102" s="8"/>
    </row>
    <row r="103" spans="1:6" x14ac:dyDescent="0.45">
      <c r="A103" s="8"/>
      <c r="B103" s="8"/>
      <c r="C103" s="8"/>
      <c r="D103" s="8"/>
      <c r="E103" s="8"/>
      <c r="F103" s="8"/>
    </row>
    <row r="104" spans="1:6" x14ac:dyDescent="0.45">
      <c r="A104" s="8"/>
      <c r="B104" s="8"/>
      <c r="C104" s="8"/>
      <c r="D104" s="8"/>
      <c r="E104" s="8"/>
      <c r="F104" s="8"/>
    </row>
    <row r="105" spans="1:6" x14ac:dyDescent="0.45">
      <c r="A105" s="8"/>
      <c r="B105" s="8"/>
      <c r="C105" s="8"/>
      <c r="D105" s="8"/>
      <c r="E105" s="8"/>
      <c r="F105" s="8"/>
    </row>
    <row r="106" spans="1:6" x14ac:dyDescent="0.45">
      <c r="A106" s="8"/>
      <c r="B106" s="8"/>
      <c r="C106" s="8"/>
      <c r="D106" s="8"/>
      <c r="E106" s="8"/>
      <c r="F106" s="8"/>
    </row>
    <row r="107" spans="1:6" x14ac:dyDescent="0.45">
      <c r="A107" s="8"/>
      <c r="B107" s="8"/>
      <c r="C107" s="8"/>
      <c r="D107" s="8"/>
      <c r="E107" s="8"/>
      <c r="F107" s="8"/>
    </row>
    <row r="108" spans="1:6" x14ac:dyDescent="0.45">
      <c r="A108" s="8"/>
      <c r="B108" s="8"/>
      <c r="C108" s="8"/>
      <c r="D108" s="8"/>
      <c r="E108" s="8"/>
      <c r="F108" s="8"/>
    </row>
    <row r="109" spans="1:6" x14ac:dyDescent="0.45">
      <c r="A109" s="8"/>
      <c r="B109" s="8"/>
      <c r="C109" s="8"/>
      <c r="D109" s="8"/>
      <c r="E109" s="8"/>
      <c r="F109" s="8"/>
    </row>
    <row r="110" spans="1:6" x14ac:dyDescent="0.45">
      <c r="A110" s="8"/>
      <c r="B110" s="8"/>
      <c r="C110" s="8"/>
      <c r="D110" s="8"/>
      <c r="E110" s="8"/>
      <c r="F110" s="8"/>
    </row>
    <row r="111" spans="1:6" x14ac:dyDescent="0.45">
      <c r="A111" s="8"/>
      <c r="B111" s="8"/>
      <c r="C111" s="8"/>
      <c r="D111" s="8"/>
      <c r="E111" s="8"/>
      <c r="F111" s="8"/>
    </row>
    <row r="112" spans="1:6" x14ac:dyDescent="0.45">
      <c r="A112" s="8"/>
      <c r="B112" s="8"/>
      <c r="C112" s="8"/>
      <c r="D112" s="8"/>
      <c r="E112" s="8"/>
      <c r="F112" s="8"/>
    </row>
    <row r="113" spans="1:6" x14ac:dyDescent="0.45">
      <c r="A113" s="8"/>
      <c r="B113" s="8"/>
      <c r="C113" s="8"/>
      <c r="D113" s="8"/>
      <c r="E113" s="8"/>
      <c r="F113" s="8"/>
    </row>
    <row r="114" spans="1:6" x14ac:dyDescent="0.45">
      <c r="A114" s="8"/>
      <c r="B114" s="8"/>
      <c r="C114" s="8"/>
      <c r="D114" s="8"/>
      <c r="E114" s="8"/>
      <c r="F114" s="8"/>
    </row>
    <row r="115" spans="1:6" x14ac:dyDescent="0.45">
      <c r="A115" s="8"/>
      <c r="B115" s="8"/>
      <c r="C115" s="8"/>
      <c r="D115" s="8"/>
      <c r="E115" s="8"/>
      <c r="F115" s="8"/>
    </row>
    <row r="116" spans="1:6" x14ac:dyDescent="0.45">
      <c r="A116" s="8"/>
      <c r="B116" s="8"/>
      <c r="C116" s="8"/>
      <c r="D116" s="8"/>
      <c r="E116" s="8"/>
      <c r="F116" s="8"/>
    </row>
    <row r="117" spans="1:6" x14ac:dyDescent="0.45">
      <c r="A117" s="8"/>
      <c r="B117" s="8"/>
      <c r="C117" s="8"/>
      <c r="D117" s="8"/>
      <c r="E117" s="8"/>
      <c r="F117" s="8"/>
    </row>
    <row r="118" spans="1:6" x14ac:dyDescent="0.45">
      <c r="A118" s="8"/>
      <c r="B118" s="8"/>
      <c r="C118" s="8"/>
      <c r="D118" s="8"/>
      <c r="E118" s="8"/>
      <c r="F118" s="8"/>
    </row>
    <row r="119" spans="1:6" x14ac:dyDescent="0.45">
      <c r="A119" s="8"/>
      <c r="B119" s="8"/>
      <c r="C119" s="8"/>
      <c r="D119" s="8"/>
      <c r="E119" s="8"/>
      <c r="F119" s="8"/>
    </row>
    <row r="120" spans="1:6" x14ac:dyDescent="0.45">
      <c r="A120" s="8"/>
      <c r="B120" s="8"/>
      <c r="C120" s="8"/>
      <c r="D120" s="8"/>
      <c r="E120" s="8"/>
      <c r="F120" s="8"/>
    </row>
    <row r="121" spans="1:6" x14ac:dyDescent="0.45">
      <c r="A121" s="8"/>
      <c r="B121" s="8"/>
      <c r="C121" s="8"/>
      <c r="D121" s="8"/>
      <c r="E121" s="8"/>
      <c r="F121" s="8"/>
    </row>
    <row r="122" spans="1:6" x14ac:dyDescent="0.45">
      <c r="A122" s="8"/>
      <c r="B122" s="8"/>
      <c r="C122" s="8"/>
      <c r="D122" s="8"/>
      <c r="E122" s="8"/>
      <c r="F122" s="8"/>
    </row>
    <row r="123" spans="1:6" x14ac:dyDescent="0.45">
      <c r="A123" s="8"/>
      <c r="B123" s="8"/>
      <c r="C123" s="8"/>
      <c r="D123" s="8"/>
      <c r="E123" s="8"/>
      <c r="F123" s="8"/>
    </row>
    <row r="124" spans="1:6" x14ac:dyDescent="0.45">
      <c r="A124" s="8"/>
      <c r="B124" s="8"/>
      <c r="C124" s="8"/>
      <c r="D124" s="8"/>
      <c r="E124" s="8"/>
      <c r="F124" s="8"/>
    </row>
    <row r="125" spans="1:6" x14ac:dyDescent="0.45">
      <c r="A125" s="8"/>
      <c r="B125" s="8"/>
      <c r="C125" s="8"/>
      <c r="D125" s="8"/>
      <c r="E125" s="8"/>
      <c r="F125" s="8"/>
    </row>
    <row r="126" spans="1:6" x14ac:dyDescent="0.45">
      <c r="A126" s="8"/>
      <c r="B126" s="8"/>
      <c r="C126" s="8"/>
      <c r="D126" s="8"/>
      <c r="E126" s="8"/>
      <c r="F126" s="8"/>
    </row>
    <row r="127" spans="1:6" x14ac:dyDescent="0.45">
      <c r="A127" s="8"/>
      <c r="B127" s="8"/>
      <c r="C127" s="8"/>
      <c r="D127" s="8"/>
      <c r="E127" s="8"/>
      <c r="F127" s="8"/>
    </row>
    <row r="128" spans="1:6" x14ac:dyDescent="0.45">
      <c r="A128" s="8"/>
      <c r="B128" s="8"/>
      <c r="C128" s="8"/>
      <c r="D128" s="8"/>
      <c r="E128" s="8"/>
      <c r="F128" s="8"/>
    </row>
    <row r="129" spans="1:6" x14ac:dyDescent="0.45">
      <c r="A129" s="8"/>
      <c r="B129" s="8"/>
      <c r="C129" s="8"/>
      <c r="D129" s="8"/>
      <c r="E129" s="8"/>
      <c r="F129" s="8"/>
    </row>
    <row r="130" spans="1:6" x14ac:dyDescent="0.45">
      <c r="A130" s="8"/>
      <c r="B130" s="8"/>
      <c r="C130" s="8"/>
      <c r="D130" s="8"/>
      <c r="E130" s="8"/>
      <c r="F130" s="8"/>
    </row>
    <row r="131" spans="1:6" x14ac:dyDescent="0.45">
      <c r="A131" s="8"/>
      <c r="B131" s="8"/>
      <c r="C131" s="8"/>
      <c r="D131" s="8"/>
      <c r="E131" s="8"/>
      <c r="F131" s="8"/>
    </row>
    <row r="132" spans="1:6" x14ac:dyDescent="0.45">
      <c r="A132" s="8"/>
      <c r="B132" s="8"/>
      <c r="C132" s="8"/>
      <c r="D132" s="8"/>
      <c r="E132" s="8"/>
      <c r="F132" s="8"/>
    </row>
    <row r="133" spans="1:6" x14ac:dyDescent="0.45">
      <c r="A133" s="8"/>
      <c r="B133" s="8"/>
      <c r="C133" s="8"/>
      <c r="D133" s="8"/>
      <c r="E133" s="8"/>
      <c r="F133" s="8"/>
    </row>
    <row r="134" spans="1:6" x14ac:dyDescent="0.45">
      <c r="A134" s="8"/>
      <c r="B134" s="8"/>
      <c r="C134" s="8"/>
      <c r="D134" s="8"/>
      <c r="E134" s="8"/>
      <c r="F134" s="8"/>
    </row>
    <row r="135" spans="1:6" x14ac:dyDescent="0.45">
      <c r="A135" s="8"/>
      <c r="B135" s="8"/>
      <c r="C135" s="8"/>
      <c r="D135" s="8"/>
      <c r="E135" s="8"/>
      <c r="F135" s="8"/>
    </row>
    <row r="136" spans="1:6" x14ac:dyDescent="0.45">
      <c r="A136" s="8"/>
      <c r="B136" s="8"/>
      <c r="C136" s="8"/>
      <c r="D136" s="8"/>
      <c r="E136" s="8"/>
      <c r="F136" s="8"/>
    </row>
    <row r="137" spans="1:6" x14ac:dyDescent="0.45">
      <c r="A137" s="8"/>
      <c r="B137" s="8"/>
      <c r="C137" s="8"/>
      <c r="D137" s="8"/>
      <c r="E137" s="8"/>
      <c r="F137" s="8"/>
    </row>
    <row r="138" spans="1:6" x14ac:dyDescent="0.45">
      <c r="A138" s="8"/>
      <c r="B138" s="8"/>
      <c r="C138" s="8"/>
      <c r="D138" s="8"/>
      <c r="E138" s="8"/>
      <c r="F138" s="8"/>
    </row>
    <row r="139" spans="1:6" x14ac:dyDescent="0.45">
      <c r="A139" s="8"/>
      <c r="B139" s="8"/>
      <c r="C139" s="8"/>
      <c r="D139" s="8"/>
      <c r="E139" s="8"/>
      <c r="F139" s="8"/>
    </row>
    <row r="140" spans="1:6" x14ac:dyDescent="0.45">
      <c r="A140" s="8"/>
      <c r="B140" s="8"/>
      <c r="C140" s="8"/>
      <c r="D140" s="8"/>
      <c r="E140" s="8"/>
      <c r="F140" s="8"/>
    </row>
    <row r="141" spans="1:6" x14ac:dyDescent="0.45">
      <c r="A141" s="8"/>
      <c r="B141" s="8"/>
      <c r="C141" s="8"/>
      <c r="D141" s="8"/>
      <c r="E141" s="8"/>
      <c r="F141" s="8"/>
    </row>
    <row r="142" spans="1:6" x14ac:dyDescent="0.45">
      <c r="A142" s="8"/>
      <c r="B142" s="8"/>
      <c r="C142" s="8"/>
      <c r="D142" s="8"/>
      <c r="E142" s="8"/>
      <c r="F142" s="8"/>
    </row>
    <row r="143" spans="1:6" x14ac:dyDescent="0.45">
      <c r="A143" s="8"/>
      <c r="B143" s="8"/>
      <c r="C143" s="8"/>
      <c r="D143" s="8"/>
      <c r="E143" s="8"/>
      <c r="F143" s="8"/>
    </row>
    <row r="144" spans="1:6" x14ac:dyDescent="0.45">
      <c r="A144" s="8"/>
      <c r="B144" s="8"/>
      <c r="C144" s="8"/>
      <c r="D144" s="8"/>
      <c r="E144" s="8"/>
      <c r="F144" s="8"/>
    </row>
    <row r="145" spans="1:6" x14ac:dyDescent="0.45">
      <c r="A145" s="8"/>
      <c r="B145" s="8"/>
      <c r="C145" s="8"/>
      <c r="D145" s="8"/>
      <c r="E145" s="8"/>
      <c r="F145" s="8"/>
    </row>
    <row r="146" spans="1:6" x14ac:dyDescent="0.45">
      <c r="A146" s="8"/>
      <c r="B146" s="8"/>
      <c r="C146" s="8"/>
      <c r="D146" s="8"/>
      <c r="E146" s="8"/>
      <c r="F146" s="8"/>
    </row>
    <row r="147" spans="1:6" x14ac:dyDescent="0.45">
      <c r="A147" s="8"/>
      <c r="B147" s="8"/>
      <c r="C147" s="8"/>
      <c r="D147" s="8"/>
      <c r="E147" s="8"/>
      <c r="F147" s="8"/>
    </row>
    <row r="148" spans="1:6" x14ac:dyDescent="0.45">
      <c r="A148" s="8"/>
      <c r="B148" s="8"/>
      <c r="C148" s="8"/>
      <c r="D148" s="8"/>
      <c r="E148" s="8"/>
      <c r="F148" s="8"/>
    </row>
    <row r="149" spans="1:6" x14ac:dyDescent="0.45">
      <c r="A149" s="8"/>
      <c r="B149" s="8"/>
      <c r="C149" s="8"/>
      <c r="D149" s="8"/>
      <c r="E149" s="8"/>
      <c r="F149" s="8"/>
    </row>
    <row r="150" spans="1:6" x14ac:dyDescent="0.45">
      <c r="A150" s="8"/>
      <c r="B150" s="8"/>
      <c r="C150" s="8"/>
      <c r="D150" s="8"/>
      <c r="E150" s="8"/>
      <c r="F150" s="8"/>
    </row>
    <row r="151" spans="1:6" x14ac:dyDescent="0.45">
      <c r="A151" s="8"/>
      <c r="B151" s="8"/>
      <c r="C151" s="8"/>
      <c r="D151" s="8"/>
      <c r="E151" s="8"/>
      <c r="F151" s="8"/>
    </row>
    <row r="152" spans="1:6" x14ac:dyDescent="0.45">
      <c r="A152" s="8"/>
      <c r="B152" s="8"/>
      <c r="C152" s="8"/>
      <c r="D152" s="8"/>
      <c r="E152" s="8"/>
      <c r="F152" s="8"/>
    </row>
    <row r="153" spans="1:6" x14ac:dyDescent="0.45">
      <c r="A153" s="8"/>
      <c r="B153" s="8"/>
      <c r="C153" s="8"/>
      <c r="D153" s="8"/>
      <c r="E153" s="8"/>
      <c r="F153" s="8"/>
    </row>
    <row r="154" spans="1:6" x14ac:dyDescent="0.45">
      <c r="A154" s="8"/>
      <c r="B154" s="8"/>
      <c r="C154" s="8"/>
      <c r="D154" s="8"/>
      <c r="E154" s="8"/>
      <c r="F154" s="8"/>
    </row>
    <row r="155" spans="1:6" x14ac:dyDescent="0.45">
      <c r="A155" s="8"/>
      <c r="B155" s="8"/>
      <c r="C155" s="8"/>
      <c r="D155" s="8"/>
      <c r="E155" s="8"/>
      <c r="F155" s="8"/>
    </row>
    <row r="156" spans="1:6" x14ac:dyDescent="0.45">
      <c r="A156" s="8"/>
      <c r="B156" s="8"/>
      <c r="C156" s="8"/>
      <c r="D156" s="8"/>
      <c r="E156" s="8"/>
      <c r="F156" s="8"/>
    </row>
    <row r="157" spans="1:6" x14ac:dyDescent="0.45">
      <c r="A157" s="8"/>
      <c r="B157" s="8"/>
      <c r="C157" s="8"/>
      <c r="D157" s="8"/>
      <c r="E157" s="8"/>
      <c r="F157" s="8"/>
    </row>
    <row r="158" spans="1:6" x14ac:dyDescent="0.45">
      <c r="A158" s="8"/>
      <c r="B158" s="8"/>
      <c r="C158" s="8"/>
      <c r="D158" s="8"/>
      <c r="E158" s="8"/>
      <c r="F158" s="8"/>
    </row>
    <row r="159" spans="1:6" x14ac:dyDescent="0.45">
      <c r="A159" s="8"/>
      <c r="B159" s="8"/>
      <c r="C159" s="8"/>
      <c r="D159" s="8"/>
      <c r="E159" s="8"/>
      <c r="F159" s="8"/>
    </row>
    <row r="160" spans="1:6" x14ac:dyDescent="0.45">
      <c r="A160" s="8"/>
      <c r="B160" s="8"/>
      <c r="C160" s="8"/>
      <c r="D160" s="8"/>
      <c r="E160" s="8"/>
      <c r="F160" s="8"/>
    </row>
    <row r="161" spans="1:6" x14ac:dyDescent="0.45">
      <c r="A161" s="8"/>
      <c r="B161" s="8"/>
      <c r="C161" s="8"/>
      <c r="D161" s="8"/>
      <c r="E161" s="8"/>
      <c r="F161" s="8"/>
    </row>
    <row r="162" spans="1:6" x14ac:dyDescent="0.45">
      <c r="A162" s="8"/>
      <c r="B162" s="8"/>
      <c r="C162" s="8"/>
      <c r="D162" s="8"/>
      <c r="E162" s="8"/>
      <c r="F162" s="8"/>
    </row>
    <row r="163" spans="1:6" x14ac:dyDescent="0.45">
      <c r="A163" s="8"/>
      <c r="B163" s="8"/>
      <c r="C163" s="8"/>
      <c r="D163" s="8"/>
      <c r="E163" s="8"/>
      <c r="F163" s="8"/>
    </row>
    <row r="164" spans="1:6" x14ac:dyDescent="0.45">
      <c r="A164" s="8"/>
      <c r="B164" s="8"/>
      <c r="C164" s="8"/>
      <c r="D164" s="8"/>
      <c r="E164" s="8"/>
      <c r="F164" s="8"/>
    </row>
    <row r="165" spans="1:6" x14ac:dyDescent="0.45">
      <c r="A165" s="8"/>
      <c r="B165" s="8"/>
      <c r="C165" s="8"/>
      <c r="D165" s="8"/>
      <c r="E165" s="8"/>
      <c r="F165" s="8"/>
    </row>
    <row r="166" spans="1:6" x14ac:dyDescent="0.45">
      <c r="A166" s="8"/>
      <c r="B166" s="8"/>
      <c r="C166" s="8"/>
      <c r="D166" s="8"/>
      <c r="E166" s="8"/>
      <c r="F166" s="8"/>
    </row>
    <row r="167" spans="1:6" x14ac:dyDescent="0.45">
      <c r="A167" s="8"/>
      <c r="B167" s="8"/>
      <c r="C167" s="8"/>
      <c r="D167" s="8"/>
      <c r="E167" s="8"/>
      <c r="F167" s="8"/>
    </row>
    <row r="168" spans="1:6" x14ac:dyDescent="0.45">
      <c r="A168" s="8"/>
      <c r="B168" s="8"/>
      <c r="C168" s="8"/>
      <c r="D168" s="8"/>
      <c r="E168" s="8"/>
      <c r="F168" s="8"/>
    </row>
    <row r="169" spans="1:6" x14ac:dyDescent="0.45">
      <c r="A169" s="8"/>
      <c r="B169" s="8"/>
      <c r="C169" s="8"/>
      <c r="D169" s="8"/>
      <c r="E169" s="8"/>
      <c r="F169" s="8"/>
    </row>
    <row r="170" spans="1:6" x14ac:dyDescent="0.45">
      <c r="A170" s="8"/>
      <c r="B170" s="8"/>
      <c r="C170" s="8"/>
      <c r="D170" s="8"/>
      <c r="E170" s="8"/>
      <c r="F170" s="8"/>
    </row>
    <row r="171" spans="1:6" x14ac:dyDescent="0.45">
      <c r="A171" s="8"/>
      <c r="B171" s="8"/>
      <c r="C171" s="8"/>
      <c r="D171" s="8"/>
      <c r="E171" s="8"/>
      <c r="F171" s="8"/>
    </row>
    <row r="172" spans="1:6" x14ac:dyDescent="0.45">
      <c r="A172" s="8"/>
      <c r="B172" s="8"/>
      <c r="C172" s="8"/>
      <c r="D172" s="8"/>
      <c r="E172" s="8"/>
      <c r="F172" s="8"/>
    </row>
    <row r="173" spans="1:6" x14ac:dyDescent="0.45">
      <c r="A173" s="8"/>
      <c r="B173" s="8"/>
      <c r="C173" s="8"/>
      <c r="D173" s="8"/>
      <c r="E173" s="8"/>
      <c r="F173" s="8"/>
    </row>
    <row r="174" spans="1:6" x14ac:dyDescent="0.45">
      <c r="A174" s="8"/>
      <c r="B174" s="8"/>
      <c r="C174" s="8"/>
      <c r="D174" s="8"/>
      <c r="E174" s="8"/>
      <c r="F174" s="8"/>
    </row>
    <row r="175" spans="1:6" x14ac:dyDescent="0.45">
      <c r="A175" s="8"/>
      <c r="B175" s="8"/>
      <c r="C175" s="8"/>
      <c r="D175" s="8"/>
      <c r="E175" s="8"/>
      <c r="F175" s="8"/>
    </row>
    <row r="176" spans="1:6" x14ac:dyDescent="0.45">
      <c r="A176" s="8"/>
      <c r="B176" s="8"/>
      <c r="C176" s="8"/>
      <c r="D176" s="8"/>
      <c r="E176" s="8"/>
      <c r="F176" s="8"/>
    </row>
    <row r="177" spans="1:6" x14ac:dyDescent="0.45">
      <c r="A177" s="8"/>
      <c r="B177" s="8"/>
      <c r="C177" s="8"/>
      <c r="D177" s="8"/>
      <c r="E177" s="8"/>
      <c r="F177" s="8"/>
    </row>
    <row r="178" spans="1:6" x14ac:dyDescent="0.45">
      <c r="A178" s="8"/>
      <c r="B178" s="8"/>
      <c r="C178" s="8"/>
      <c r="D178" s="8"/>
      <c r="E178" s="8"/>
      <c r="F178" s="8"/>
    </row>
    <row r="179" spans="1:6" x14ac:dyDescent="0.45">
      <c r="A179" s="8"/>
      <c r="B179" s="8"/>
      <c r="C179" s="8"/>
      <c r="D179" s="8"/>
      <c r="E179" s="8"/>
      <c r="F179" s="8"/>
    </row>
    <row r="180" spans="1:6" x14ac:dyDescent="0.45">
      <c r="A180" s="8"/>
      <c r="B180" s="8"/>
      <c r="C180" s="8"/>
      <c r="D180" s="8"/>
      <c r="E180" s="8"/>
      <c r="F180" s="8"/>
    </row>
    <row r="181" spans="1:6" x14ac:dyDescent="0.45">
      <c r="A181" s="8"/>
      <c r="B181" s="8"/>
      <c r="C181" s="8"/>
      <c r="D181" s="8"/>
      <c r="E181" s="8"/>
      <c r="F181" s="8"/>
    </row>
    <row r="182" spans="1:6" x14ac:dyDescent="0.45">
      <c r="A182" s="8"/>
      <c r="B182" s="8"/>
      <c r="C182" s="8"/>
      <c r="D182" s="8"/>
      <c r="E182" s="8"/>
      <c r="F182" s="8"/>
    </row>
    <row r="183" spans="1:6" x14ac:dyDescent="0.45">
      <c r="A183" s="8"/>
      <c r="B183" s="8"/>
      <c r="C183" s="8"/>
      <c r="D183" s="8"/>
      <c r="E183" s="8"/>
      <c r="F183" s="8"/>
    </row>
    <row r="184" spans="1:6" x14ac:dyDescent="0.45">
      <c r="A184" s="8"/>
      <c r="B184" s="8"/>
      <c r="C184" s="8"/>
      <c r="D184" s="8"/>
      <c r="E184" s="8"/>
      <c r="F184" s="8"/>
    </row>
    <row r="185" spans="1:6" x14ac:dyDescent="0.45">
      <c r="A185" s="8"/>
      <c r="B185" s="8"/>
      <c r="C185" s="8"/>
      <c r="D185" s="8"/>
      <c r="E185" s="8"/>
      <c r="F185" s="8"/>
    </row>
    <row r="186" spans="1:6" x14ac:dyDescent="0.45">
      <c r="A186" s="8"/>
      <c r="B186" s="8"/>
      <c r="C186" s="8"/>
      <c r="D186" s="8"/>
      <c r="E186" s="8"/>
      <c r="F186" s="8"/>
    </row>
    <row r="187" spans="1:6" x14ac:dyDescent="0.45">
      <c r="A187" s="8"/>
      <c r="B187" s="8"/>
      <c r="C187" s="8"/>
      <c r="D187" s="8"/>
      <c r="E187" s="8"/>
      <c r="F187" s="8"/>
    </row>
    <row r="188" spans="1:6" x14ac:dyDescent="0.45">
      <c r="A188" s="8"/>
      <c r="B188" s="8"/>
      <c r="C188" s="8"/>
      <c r="D188" s="8"/>
      <c r="E188" s="8"/>
      <c r="F188" s="8"/>
    </row>
    <row r="189" spans="1:6" x14ac:dyDescent="0.4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actsSheet"/>
  <dimension ref="A1:BF1"/>
  <sheetViews>
    <sheetView zoomScaleNormal="100" workbookViewId="0">
      <selection activeCell="B26" sqref="B26"/>
    </sheetView>
  </sheetViews>
  <sheetFormatPr defaultRowHeight="14.25" x14ac:dyDescent="0.45"/>
  <cols>
    <col min="1" max="1" width="15.6640625" customWidth="1"/>
    <col min="2" max="17" width="15.59765625" style="8" customWidth="1"/>
    <col min="18" max="19" width="35.59765625" style="8" customWidth="1"/>
    <col min="20" max="20" width="15.59765625" style="8" customWidth="1"/>
    <col min="21" max="22" width="35.59765625" style="8" customWidth="1"/>
    <col min="23" max="29" width="15.59765625" style="8" customWidth="1"/>
    <col min="30" max="30" width="35.59765625" style="8" customWidth="1"/>
    <col min="31" max="32" width="15.59765625" style="8" customWidth="1"/>
    <col min="33" max="37" width="35.59765625" style="8" customWidth="1"/>
    <col min="38" max="38" width="15.59765625" style="8" customWidth="1"/>
    <col min="39" max="56" width="35.59765625" style="8" customWidth="1"/>
    <col min="57" max="57" width="15.59765625" style="8" customWidth="1"/>
    <col min="58" max="58" width="35.59765625" style="8" customWidth="1"/>
  </cols>
  <sheetData>
    <row r="1" spans="1:58" s="5" customFormat="1" ht="14.65" thickBot="1" x14ac:dyDescent="0.5">
      <c r="A1" s="63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ReportSheet"/>
  <dimension ref="A1:E16"/>
  <sheetViews>
    <sheetView workbookViewId="0">
      <selection activeCell="B32" sqref="B32"/>
    </sheetView>
  </sheetViews>
  <sheetFormatPr defaultRowHeight="14.25" x14ac:dyDescent="0.45"/>
  <cols>
    <col min="1" max="1" width="26.33203125" bestFit="1" customWidth="1"/>
    <col min="2" max="4" width="18.1328125" bestFit="1" customWidth="1"/>
    <col min="5" max="7" width="10" bestFit="1" customWidth="1"/>
    <col min="8" max="8" width="11.1328125" bestFit="1" customWidth="1"/>
    <col min="9" max="9" width="11" customWidth="1"/>
    <col min="10" max="10" width="14.1328125" customWidth="1"/>
    <col min="11" max="12" width="16.1328125" customWidth="1"/>
    <col min="13" max="13" width="11.33203125" customWidth="1"/>
    <col min="14" max="14" width="11.1328125" bestFit="1" customWidth="1"/>
  </cols>
  <sheetData>
    <row r="1" spans="1:5" x14ac:dyDescent="0.45">
      <c r="A1" s="39" t="s">
        <v>42</v>
      </c>
      <c r="B1" s="39" t="s">
        <v>6</v>
      </c>
      <c r="C1" s="49"/>
      <c r="D1" s="49"/>
      <c r="E1" s="40"/>
    </row>
    <row r="2" spans="1:5" x14ac:dyDescent="0.45">
      <c r="A2" s="39" t="s">
        <v>32</v>
      </c>
      <c r="B2" s="41" t="s">
        <v>15</v>
      </c>
      <c r="C2" s="50" t="s">
        <v>18</v>
      </c>
      <c r="D2" s="50" t="s">
        <v>34</v>
      </c>
      <c r="E2" s="42" t="s">
        <v>33</v>
      </c>
    </row>
    <row r="3" spans="1:5" x14ac:dyDescent="0.45">
      <c r="A3" s="41" t="s">
        <v>34</v>
      </c>
      <c r="B3" s="43"/>
      <c r="C3" s="51"/>
      <c r="D3" s="51"/>
      <c r="E3" s="44"/>
    </row>
    <row r="4" spans="1:5" ht="14.25" customHeight="1" x14ac:dyDescent="0.45">
      <c r="A4" s="52" t="s">
        <v>96</v>
      </c>
      <c r="B4" s="53">
        <v>7</v>
      </c>
      <c r="C4" s="30">
        <v>1</v>
      </c>
      <c r="D4" s="30"/>
      <c r="E4" s="54">
        <v>8</v>
      </c>
    </row>
    <row r="5" spans="1:5" ht="14.25" customHeight="1" x14ac:dyDescent="0.45">
      <c r="A5" s="52" t="s">
        <v>97</v>
      </c>
      <c r="B5" s="53">
        <v>2</v>
      </c>
      <c r="C5" s="30"/>
      <c r="D5" s="30"/>
      <c r="E5" s="54">
        <v>2</v>
      </c>
    </row>
    <row r="6" spans="1:5" ht="14.25" customHeight="1" x14ac:dyDescent="0.45">
      <c r="A6" s="45" t="s">
        <v>33</v>
      </c>
      <c r="B6" s="46">
        <v>9</v>
      </c>
      <c r="C6" s="55">
        <v>1</v>
      </c>
      <c r="D6" s="55"/>
      <c r="E6" s="47">
        <v>10</v>
      </c>
    </row>
    <row r="7" spans="1:5" ht="14.25" customHeight="1" x14ac:dyDescent="0.45"/>
    <row r="8" spans="1:5" ht="14.25" customHeight="1" x14ac:dyDescent="0.45"/>
    <row r="9" spans="1:5" ht="14.25" customHeight="1" x14ac:dyDescent="0.45"/>
    <row r="10" spans="1:5" ht="14.25" customHeight="1" x14ac:dyDescent="0.45"/>
    <row r="11" spans="1:5" ht="14.25" customHeight="1" x14ac:dyDescent="0.45"/>
    <row r="12" spans="1:5" ht="14.25" customHeight="1" x14ac:dyDescent="0.45"/>
    <row r="13" spans="1:5" ht="14.25" customHeight="1" x14ac:dyDescent="0.45"/>
    <row r="14" spans="1:5" ht="14.25" customHeight="1" x14ac:dyDescent="0.45"/>
    <row r="15" spans="1:5" ht="14.25" customHeight="1" x14ac:dyDescent="0.45"/>
    <row r="16" spans="1:5" ht="14.25" customHeight="1" x14ac:dyDescent="0.4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ditPropertiesSheet"/>
  <dimension ref="A1:AU1"/>
  <sheetViews>
    <sheetView zoomScaleNormal="100" workbookViewId="0">
      <selection activeCell="I110" sqref="I110"/>
    </sheetView>
  </sheetViews>
  <sheetFormatPr defaultRowHeight="14.25" x14ac:dyDescent="0.45"/>
  <cols>
    <col min="1" max="1" width="22" customWidth="1"/>
    <col min="2" max="2" width="18.53125" customWidth="1"/>
    <col min="3" max="3" width="24.53125" style="35" bestFit="1" customWidth="1"/>
    <col min="4" max="4" width="13.46484375" customWidth="1"/>
    <col min="5" max="5" width="16.6640625" customWidth="1"/>
    <col min="6" max="6" width="13.1328125" customWidth="1"/>
    <col min="7" max="7" width="10.46484375" customWidth="1"/>
    <col min="8" max="8" width="26.6640625" bestFit="1" customWidth="1"/>
    <col min="9" max="9" width="12.86328125" customWidth="1"/>
    <col min="10" max="10" width="83.6640625" customWidth="1"/>
    <col min="11" max="11" width="11.53125" bestFit="1" customWidth="1"/>
    <col min="12" max="12" width="22.33203125" customWidth="1"/>
    <col min="13" max="13" width="34.9296875" style="62" bestFit="1" customWidth="1"/>
    <col min="14" max="14" width="34.46484375" style="60" bestFit="1" customWidth="1"/>
    <col min="15" max="15" width="18.86328125" style="60" bestFit="1" customWidth="1"/>
    <col min="16" max="16" width="14.265625" style="61" bestFit="1" customWidth="1"/>
    <col min="17" max="17" width="5.1328125" style="60" bestFit="1" customWidth="1"/>
    <col min="18" max="18" width="10.6640625" style="60" bestFit="1" customWidth="1"/>
    <col min="19" max="19" width="19.1328125" style="60" bestFit="1" customWidth="1"/>
    <col min="20" max="20" width="10.9296875" style="61" bestFit="1" customWidth="1"/>
    <col min="21" max="21" width="10.46484375" style="60" bestFit="1" customWidth="1"/>
    <col min="22" max="22" width="26" style="60" bestFit="1" customWidth="1"/>
    <col min="23" max="23" width="13.53125" style="61" bestFit="1" customWidth="1"/>
    <col min="24" max="24" width="10.265625" style="61" bestFit="1" customWidth="1"/>
    <col min="25" max="25" width="12.1328125" style="61" bestFit="1" customWidth="1"/>
    <col min="26" max="26" width="10.73046875" style="61" bestFit="1" customWidth="1"/>
    <col min="27" max="27" width="14.46484375" style="61" bestFit="1" customWidth="1"/>
    <col min="28" max="28" width="14.59765625" style="61" bestFit="1" customWidth="1"/>
    <col min="29" max="29" width="15.46484375" style="61" bestFit="1" customWidth="1"/>
    <col min="30" max="30" width="11.73046875" style="61" bestFit="1" customWidth="1"/>
    <col min="31" max="31" width="14.6640625" style="61" bestFit="1" customWidth="1"/>
    <col min="32" max="32" width="12.46484375" style="61" bestFit="1" customWidth="1"/>
    <col min="33" max="33" width="19.19921875" style="61" bestFit="1" customWidth="1"/>
    <col min="34" max="34" width="14.86328125" style="61" bestFit="1" customWidth="1"/>
    <col min="35" max="35" width="14.06640625" style="61" bestFit="1" customWidth="1"/>
    <col min="36" max="36" width="9.46484375" style="61" bestFit="1" customWidth="1"/>
    <col min="37" max="37" width="12.265625" style="61" bestFit="1" customWidth="1"/>
    <col min="38" max="38" width="13.59765625" style="61" bestFit="1" customWidth="1"/>
    <col min="39" max="39" width="11.9296875" style="61" bestFit="1" customWidth="1"/>
    <col min="40" max="40" width="7.86328125" style="61" bestFit="1" customWidth="1"/>
    <col min="41" max="41" width="7.265625" style="61" bestFit="1" customWidth="1"/>
    <col min="42" max="42" width="6.796875" style="61" bestFit="1" customWidth="1"/>
    <col min="43" max="43" width="12" style="61" bestFit="1" customWidth="1"/>
    <col min="44" max="44" width="9.46484375" style="61" bestFit="1" customWidth="1"/>
    <col min="45" max="45" width="10.86328125" style="61" bestFit="1" customWidth="1"/>
    <col min="46" max="46" width="16.86328125" style="61" bestFit="1" customWidth="1"/>
    <col min="47" max="47" width="15.1328125" style="61" bestFit="1" customWidth="1"/>
    <col min="48" max="48" width="9.796875" bestFit="1" customWidth="1"/>
  </cols>
  <sheetData>
    <row r="1" spans="1:13" ht="15" customHeight="1" thickBot="1" x14ac:dyDescent="0.5">
      <c r="A1" s="9" t="s">
        <v>74</v>
      </c>
      <c r="B1" s="9" t="s">
        <v>75</v>
      </c>
      <c r="C1" s="9" t="s">
        <v>76</v>
      </c>
      <c r="D1" s="9" t="s">
        <v>77</v>
      </c>
      <c r="E1" s="9" t="s">
        <v>78</v>
      </c>
      <c r="F1" s="9" t="s">
        <v>79</v>
      </c>
      <c r="G1" s="9" t="s">
        <v>80</v>
      </c>
      <c r="H1" s="9" t="s">
        <v>81</v>
      </c>
      <c r="I1" s="9" t="s">
        <v>73</v>
      </c>
      <c r="J1" s="9" t="s">
        <v>82</v>
      </c>
      <c r="K1" s="9" t="s">
        <v>83</v>
      </c>
      <c r="L1" s="9" t="s">
        <v>84</v>
      </c>
      <c r="M1" s="62" t="s">
        <v>90</v>
      </c>
    </row>
  </sheetData>
  <autoFilter ref="A1:AU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AuditLogSheet"/>
  <dimension ref="A1:E6"/>
  <sheetViews>
    <sheetView zoomScaleNormal="100" workbookViewId="0">
      <selection activeCell="E17" sqref="E17"/>
    </sheetView>
  </sheetViews>
  <sheetFormatPr defaultRowHeight="14.25" x14ac:dyDescent="0.45"/>
  <cols>
    <col min="1" max="1" width="17.86328125" bestFit="1" customWidth="1"/>
    <col min="2" max="2" width="14.73046875" bestFit="1" customWidth="1"/>
    <col min="3" max="3" width="10.73046875" bestFit="1" customWidth="1"/>
    <col min="4" max="4" width="14.73046875" bestFit="1" customWidth="1"/>
    <col min="5" max="8" width="10" bestFit="1" customWidth="1"/>
  </cols>
  <sheetData>
    <row r="1" spans="1:5" x14ac:dyDescent="0.45">
      <c r="A1" s="39" t="s">
        <v>85</v>
      </c>
      <c r="B1" s="49"/>
      <c r="C1" s="49"/>
      <c r="D1" s="39" t="s">
        <v>84</v>
      </c>
      <c r="E1" s="40"/>
    </row>
    <row r="2" spans="1:5" x14ac:dyDescent="0.45">
      <c r="A2" s="39" t="s">
        <v>73</v>
      </c>
      <c r="B2" s="39" t="s">
        <v>79</v>
      </c>
      <c r="C2" s="39" t="s">
        <v>80</v>
      </c>
      <c r="D2" s="41" t="s">
        <v>86</v>
      </c>
      <c r="E2" s="42" t="s">
        <v>33</v>
      </c>
    </row>
    <row r="3" spans="1:5" x14ac:dyDescent="0.45">
      <c r="A3" s="41" t="s">
        <v>34</v>
      </c>
      <c r="B3" s="41" t="s">
        <v>91</v>
      </c>
      <c r="C3" s="41" t="s">
        <v>92</v>
      </c>
      <c r="D3" s="43">
        <v>2</v>
      </c>
      <c r="E3" s="44">
        <v>2</v>
      </c>
    </row>
    <row r="4" spans="1:5" x14ac:dyDescent="0.45">
      <c r="A4" s="65"/>
      <c r="B4" s="41" t="s">
        <v>93</v>
      </c>
      <c r="C4" s="49"/>
      <c r="D4" s="43">
        <v>2</v>
      </c>
      <c r="E4" s="44">
        <v>2</v>
      </c>
    </row>
    <row r="5" spans="1:5" x14ac:dyDescent="0.45">
      <c r="A5" s="41" t="s">
        <v>89</v>
      </c>
      <c r="B5" s="49"/>
      <c r="C5" s="49"/>
      <c r="D5" s="43">
        <v>2</v>
      </c>
      <c r="E5" s="44">
        <v>2</v>
      </c>
    </row>
    <row r="6" spans="1:5" x14ac:dyDescent="0.45">
      <c r="A6" s="45" t="s">
        <v>33</v>
      </c>
      <c r="B6" s="66"/>
      <c r="C6" s="66"/>
      <c r="D6" s="46">
        <v>2</v>
      </c>
      <c r="E6" s="47">
        <v>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B8" sqref="B8"/>
    </sheetView>
  </sheetViews>
  <sheetFormatPr defaultRowHeight="14.25" x14ac:dyDescent="0.45"/>
  <sheetData>
    <row r="1" spans="1:3" x14ac:dyDescent="0.45">
      <c r="A1" t="s">
        <v>60</v>
      </c>
      <c r="B1" t="s">
        <v>66</v>
      </c>
      <c r="C1" t="s">
        <v>67</v>
      </c>
    </row>
    <row r="2" spans="1:3" x14ac:dyDescent="0.45">
      <c r="A2" t="s">
        <v>61</v>
      </c>
      <c r="B2">
        <v>82974</v>
      </c>
      <c r="C2">
        <v>75</v>
      </c>
    </row>
    <row r="3" spans="1:3" x14ac:dyDescent="0.45">
      <c r="A3" t="s">
        <v>62</v>
      </c>
      <c r="B3">
        <v>23446</v>
      </c>
      <c r="C3">
        <v>10</v>
      </c>
    </row>
    <row r="4" spans="1:3" x14ac:dyDescent="0.45">
      <c r="A4" t="s">
        <v>63</v>
      </c>
      <c r="B4">
        <v>15861</v>
      </c>
      <c r="C4">
        <v>6</v>
      </c>
    </row>
    <row r="5" spans="1:3" x14ac:dyDescent="0.45">
      <c r="A5" t="s">
        <v>64</v>
      </c>
      <c r="B5">
        <v>17133</v>
      </c>
      <c r="C5">
        <v>0</v>
      </c>
    </row>
    <row r="6" spans="1:3" x14ac:dyDescent="0.45">
      <c r="A6" t="s">
        <v>65</v>
      </c>
      <c r="B6">
        <v>24279</v>
      </c>
      <c r="C6">
        <v>19</v>
      </c>
    </row>
    <row r="7" spans="1:3" x14ac:dyDescent="0.45">
      <c r="A7" t="s">
        <v>94</v>
      </c>
      <c r="B7">
        <v>39122</v>
      </c>
      <c r="C7">
        <v>13</v>
      </c>
    </row>
    <row r="8" spans="1:3" x14ac:dyDescent="0.45">
      <c r="A8" t="s">
        <v>95</v>
      </c>
      <c r="B8">
        <v>25401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Manager>Alex Sirota</Manager>
  <Company>NewPath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Wild Apricot Reporting Dashboard</dc:title>
  <dc:creator>Edmond Tsoi</dc:creator>
  <dc:description>need read only API key from Wild Apricot to activate (server key)</dc:description>
  <cp:lastModifiedBy>Edmond</cp:lastModifiedBy>
  <cp:revision>12</cp:revision>
  <dcterms:created xsi:type="dcterms:W3CDTF">2013-07-05T14:24:06Z</dcterms:created>
  <dcterms:modified xsi:type="dcterms:W3CDTF">2018-06-19T18:50:08Z</dcterms:modified>
  <cp:version>2,4</cp:version>
</cp:coreProperties>
</file>